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indows\OneDrive\Sources\Míša excel current\"/>
    </mc:Choice>
  </mc:AlternateContent>
  <xr:revisionPtr revIDLastSave="238" documentId="13_ncr:1_{2DAE950C-C914-40F2-BD0A-B2928ED7A865}" xr6:coauthVersionLast="45" xr6:coauthVersionMax="45" xr10:uidLastSave="{6AD9DB9E-0F90-4CCE-A37D-30A3555CEDE6}"/>
  <bookViews>
    <workbookView xWindow="-120" yWindow="-120" windowWidth="38640" windowHeight="21240" tabRatio="674" firstSheet="2" activeTab="8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  <sheet name="TEST2" sheetId="19" r:id="rId9"/>
    <sheet name="Svátky pro makro" sheetId="20" r:id="rId10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0" l="1"/>
  <c r="C12" i="20"/>
  <c r="C11" i="20"/>
  <c r="C10" i="20"/>
  <c r="C9" i="20"/>
  <c r="C8" i="20"/>
  <c r="C7" i="20"/>
  <c r="C6" i="20"/>
  <c r="C5" i="20"/>
  <c r="C4" i="20"/>
  <c r="C3" i="20"/>
  <c r="C2" i="20"/>
  <c r="C1" i="20"/>
  <c r="I28" i="16"/>
  <c r="H28" i="16"/>
  <c r="G28" i="16"/>
  <c r="F28" i="16"/>
  <c r="E28" i="16"/>
  <c r="J27" i="16"/>
  <c r="I27" i="16"/>
  <c r="H27" i="16"/>
  <c r="G27" i="16"/>
  <c r="F27" i="16"/>
  <c r="E27" i="16"/>
  <c r="J26" i="16"/>
  <c r="I26" i="16"/>
  <c r="H26" i="16"/>
  <c r="G26" i="16"/>
  <c r="F26" i="16"/>
  <c r="E26" i="16"/>
  <c r="J25" i="16"/>
  <c r="I25" i="16"/>
  <c r="H25" i="16"/>
  <c r="G25" i="16"/>
  <c r="F25" i="16"/>
  <c r="E25" i="16"/>
  <c r="J24" i="16"/>
  <c r="I24" i="16"/>
  <c r="H24" i="16"/>
  <c r="G24" i="16"/>
  <c r="F24" i="16"/>
  <c r="E24" i="16"/>
  <c r="J23" i="16"/>
  <c r="I23" i="16"/>
  <c r="H23" i="16"/>
  <c r="G23" i="16"/>
  <c r="F23" i="16"/>
  <c r="E23" i="16"/>
  <c r="J22" i="16"/>
  <c r="I22" i="16"/>
  <c r="H22" i="16"/>
  <c r="G22" i="16"/>
  <c r="F22" i="16"/>
  <c r="E22" i="16"/>
  <c r="J21" i="16"/>
  <c r="I21" i="16"/>
  <c r="H21" i="16"/>
  <c r="G21" i="16"/>
  <c r="F21" i="16"/>
  <c r="E21" i="16"/>
  <c r="J20" i="16"/>
  <c r="I20" i="16"/>
  <c r="H20" i="16"/>
  <c r="G20" i="16"/>
  <c r="F20" i="16"/>
  <c r="E20" i="16"/>
  <c r="J19" i="16"/>
  <c r="I19" i="16"/>
  <c r="H19" i="16"/>
  <c r="G19" i="16"/>
  <c r="F19" i="16"/>
  <c r="E19" i="16"/>
  <c r="J18" i="16"/>
  <c r="I18" i="16"/>
  <c r="H18" i="16"/>
  <c r="G18" i="16"/>
  <c r="F18" i="16"/>
  <c r="E18" i="16"/>
  <c r="J17" i="16"/>
  <c r="I17" i="16"/>
  <c r="H17" i="16"/>
  <c r="G17" i="16"/>
  <c r="F17" i="16"/>
  <c r="E17" i="16"/>
  <c r="I14" i="16"/>
  <c r="H14" i="16"/>
  <c r="G14" i="16"/>
  <c r="F14" i="16"/>
  <c r="E14" i="16"/>
  <c r="J13" i="16"/>
  <c r="I13" i="16"/>
  <c r="H13" i="16"/>
  <c r="G13" i="16"/>
  <c r="F13" i="16"/>
  <c r="E13" i="16"/>
  <c r="J12" i="16"/>
  <c r="H12" i="16"/>
  <c r="G12" i="16"/>
  <c r="F12" i="16"/>
  <c r="E12" i="16"/>
  <c r="J11" i="16"/>
  <c r="I11" i="16"/>
  <c r="H11" i="16"/>
  <c r="G11" i="16"/>
  <c r="F11" i="16"/>
  <c r="E11" i="16"/>
  <c r="J10" i="16"/>
  <c r="I10" i="16"/>
  <c r="H10" i="16"/>
  <c r="G10" i="16"/>
  <c r="F10" i="16"/>
  <c r="E10" i="16"/>
  <c r="J9" i="16"/>
  <c r="I9" i="16"/>
  <c r="H9" i="16"/>
  <c r="G9" i="16"/>
  <c r="F9" i="16"/>
  <c r="E9" i="16"/>
  <c r="J8" i="16"/>
  <c r="I8" i="16"/>
  <c r="H8" i="16"/>
  <c r="G8" i="16"/>
  <c r="F8" i="16"/>
  <c r="E8" i="16"/>
  <c r="J7" i="16"/>
  <c r="I7" i="16"/>
  <c r="H7" i="16"/>
  <c r="G7" i="16"/>
  <c r="F7" i="16"/>
  <c r="E7" i="16"/>
  <c r="J6" i="16"/>
  <c r="I6" i="16"/>
  <c r="H6" i="16"/>
  <c r="G6" i="16"/>
  <c r="F6" i="16"/>
  <c r="E6" i="16"/>
  <c r="J5" i="16"/>
  <c r="I5" i="16"/>
  <c r="H5" i="16"/>
  <c r="G5" i="16"/>
  <c r="F5" i="16"/>
  <c r="E5" i="16"/>
  <c r="J4" i="16"/>
  <c r="I4" i="16"/>
  <c r="H4" i="16"/>
  <c r="G4" i="16"/>
  <c r="F4" i="16"/>
  <c r="E4" i="16"/>
  <c r="J3" i="16"/>
  <c r="I3" i="16"/>
  <c r="H3" i="16"/>
  <c r="G3" i="16"/>
  <c r="F3" i="16"/>
  <c r="E3" i="16"/>
  <c r="J2" i="16"/>
  <c r="I2" i="16"/>
  <c r="H2" i="16"/>
  <c r="G2" i="16"/>
  <c r="F2" i="16"/>
  <c r="E2" i="16"/>
  <c r="A1" i="14"/>
  <c r="A1" i="17"/>
</calcChain>
</file>

<file path=xl/sharedStrings.xml><?xml version="1.0" encoding="utf-8"?>
<sst xmlns="http://schemas.openxmlformats.org/spreadsheetml/2006/main" count="3812" uniqueCount="413">
  <si>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</si>
  <si>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</si>
  <si>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</si>
  <si>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</si>
  <si>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</si>
  <si>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</si>
  <si>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</si>
  <si>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</si>
  <si>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</si>
  <si>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</si>
  <si>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</si>
  <si>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</si>
  <si>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</si>
  <si>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</si>
  <si>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</si>
  <si>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</si>
  <si>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</si>
  <si>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</si>
  <si>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</si>
  <si>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</si>
  <si>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</si>
  <si>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</si>
  <si>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</si>
  <si>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</si>
  <si>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</si>
  <si>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</si>
  <si>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</si>
  <si>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</si>
  <si>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</si>
  <si>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</si>
  <si>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</si>
  <si>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</si>
  <si>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</si>
  <si>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</si>
  <si>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</si>
  <si>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</si>
  <si>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</si>
  <si>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</si>
  <si>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</si>
  <si>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</si>
  <si>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</si>
  <si>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</si>
  <si>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</si>
  <si>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</si>
  <si>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</si>
  <si>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</si>
  <si>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</si>
  <si>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</si>
  <si>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</si>
  <si>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</si>
  <si>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</si>
  <si>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</si>
  <si>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</si>
  <si>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</si>
  <si>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</si>
  <si>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</si>
  <si>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</si>
  <si>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</si>
  <si>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</si>
  <si>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</si>
  <si>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</si>
  <si>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</si>
  <si>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</si>
  <si>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</si>
  <si>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</si>
  <si>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</si>
  <si>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</si>
  <si>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</si>
  <si>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</si>
  <si>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</si>
  <si>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</si>
  <si>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</si>
  <si>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</si>
  <si>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</si>
  <si>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</si>
  <si>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</si>
  <si>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</si>
  <si>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</si>
  <si>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</si>
  <si>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</si>
  <si>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</si>
  <si>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</si>
  <si>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</si>
  <si>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</si>
  <si>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</si>
  <si>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</si>
  <si>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</si>
  <si>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</si>
  <si>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</si>
  <si>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</si>
  <si>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</si>
  <si>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</si>
  <si>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</si>
  <si>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</si>
  <si>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</si>
  <si>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</si>
  <si>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</si>
  <si>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</si>
  <si>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</si>
  <si>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</si>
  <si>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</si>
  <si>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</si>
  <si>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</si>
  <si>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</si>
  <si>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</si>
  <si>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</si>
  <si>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</si>
  <si>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</si>
  <si>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</si>
  <si>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</si>
  <si>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</si>
  <si>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</si>
  <si>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</si>
  <si>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</si>
  <si>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</si>
  <si>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</si>
  <si>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</si>
  <si>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</si>
  <si>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</si>
  <si>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</si>
  <si>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</si>
  <si>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</si>
  <si>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</si>
  <si>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</si>
  <si>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</si>
  <si>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</si>
  <si>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</si>
  <si>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</si>
  <si>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</si>
  <si>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</si>
  <si>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</si>
  <si>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</si>
  <si>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</si>
  <si>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</si>
  <si>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</si>
  <si>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</si>
  <si>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</si>
  <si>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</si>
  <si>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</si>
  <si>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</si>
  <si>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</si>
  <si>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</si>
  <si>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</si>
  <si>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</si>
  <si>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</si>
  <si>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</si>
  <si>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</si>
  <si>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</si>
  <si>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</si>
  <si>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</si>
  <si>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</si>
  <si>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</si>
  <si>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</si>
  <si>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</si>
  <si>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</si>
  <si>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</si>
  <si>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</si>
  <si>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</si>
  <si>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</si>
  <si>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</si>
  <si>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</si>
  <si>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</si>
  <si>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</si>
  <si>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</si>
  <si>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</si>
  <si>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</si>
  <si>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</si>
  <si>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</si>
  <si>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</si>
  <si>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</si>
  <si>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</si>
  <si>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</si>
  <si>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</si>
  <si>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</si>
  <si>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</si>
  <si>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</si>
  <si>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</si>
  <si>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</si>
  <si>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</si>
  <si>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</si>
  <si>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</si>
  <si>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</si>
  <si>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</si>
  <si>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</si>
  <si>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</si>
  <si>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</si>
  <si>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</si>
  <si>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</si>
  <si>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</si>
  <si>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</si>
  <si>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</si>
  <si>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</si>
  <si>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</si>
  <si>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</si>
  <si>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</si>
  <si>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</si>
  <si>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</si>
  <si>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</si>
  <si>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</si>
  <si>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</si>
  <si>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</si>
  <si>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</si>
  <si>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</si>
  <si>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</si>
  <si>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</si>
  <si>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</si>
  <si>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</si>
  <si>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</si>
  <si>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</si>
  <si>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</si>
  <si>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</si>
  <si>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</si>
  <si>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</si>
  <si>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</si>
  <si>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</si>
  <si>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</si>
  <si>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</si>
  <si>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</si>
  <si>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</si>
  <si>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</si>
  <si>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</si>
  <si>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</si>
  <si>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</si>
  <si>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</si>
  <si>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</si>
  <si>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</si>
  <si>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</si>
  <si>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</si>
  <si>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</si>
  <si>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</si>
  <si>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</si>
  <si>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</si>
  <si>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</si>
  <si>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</si>
  <si>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</si>
  <si>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</si>
  <si>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</si>
  <si>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</si>
  <si>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</si>
  <si>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</si>
  <si>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</si>
  <si>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</si>
  <si>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</si>
  <si>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</si>
  <si>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</si>
  <si>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</si>
  <si>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</si>
  <si>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</si>
  <si>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</si>
  <si>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</si>
  <si>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</si>
  <si>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</si>
  <si>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</si>
  <si>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</si>
  <si>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</si>
  <si>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</si>
  <si>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</si>
  <si>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</si>
  <si>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</si>
  <si>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</si>
  <si>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</si>
  <si>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</si>
  <si>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</si>
  <si>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</si>
  <si>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</si>
  <si>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</si>
  <si>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</si>
  <si>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</si>
  <si>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</si>
  <si>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</si>
  <si>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</si>
  <si>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</si>
  <si>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</si>
  <si>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</si>
  <si>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</si>
  <si>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</si>
  <si>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</si>
  <si>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</si>
  <si>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</si>
  <si>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</si>
  <si>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</si>
  <si>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</si>
  <si>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</si>
  <si>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</si>
  <si>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</si>
  <si>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</si>
  <si>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</si>
  <si>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</si>
  <si>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</si>
  <si>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</si>
  <si>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</si>
  <si>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</si>
  <si>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</si>
  <si>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</si>
  <si>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</si>
  <si>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</si>
  <si>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</si>
  <si>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</si>
  <si>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</si>
  <si>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</si>
  <si>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</si>
  <si>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</si>
  <si>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</si>
  <si>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</si>
  <si>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</si>
  <si>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</si>
  <si>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</si>
  <si>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</si>
  <si>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</si>
  <si>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</si>
  <si>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</si>
  <si>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</si>
  <si>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</si>
  <si>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</si>
  <si>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</si>
  <si>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</si>
  <si>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</si>
  <si>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</si>
  <si>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</si>
  <si>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</si>
  <si>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</si>
  <si>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</si>
  <si>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</si>
  <si>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</si>
  <si>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</si>
  <si>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</si>
  <si>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</si>
  <si>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</si>
  <si>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</si>
  <si>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</si>
  <si>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</si>
  <si>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</si>
  <si>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</si>
  <si>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</si>
  <si>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</si>
  <si>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</si>
  <si>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</si>
  <si>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</si>
  <si>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</si>
  <si>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</si>
  <si>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</si>
  <si>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</si>
  <si>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</si>
  <si>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</si>
  <si>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</si>
  <si>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</si>
  <si>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</si>
  <si>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</si>
  <si>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</si>
  <si>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</si>
  <si>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</si>
  <si>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</si>
  <si>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</si>
  <si>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</si>
  <si>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</si>
  <si>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</si>
  <si>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</si>
  <si>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</si>
  <si>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</si>
  <si>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</si>
  <si>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</si>
  <si>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</si>
  <si>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</si>
  <si>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</si>
  <si>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</si>
  <si>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</si>
  <si>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</si>
  <si>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</si>
  <si>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</si>
  <si>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</si>
  <si>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</si>
  <si>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</si>
  <si>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</si>
  <si>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</si>
  <si>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</si>
  <si>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</si>
  <si>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</si>
  <si>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</si>
  <si>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6-18h</t>
  </si>
  <si>
    <t>Program:</t>
  </si>
  <si>
    <t>Jméno</t>
  </si>
  <si>
    <t>počet služeb</t>
  </si>
  <si>
    <t>So + Ne</t>
  </si>
  <si>
    <t>So</t>
  </si>
  <si>
    <t>So přísl.</t>
  </si>
  <si>
    <t>Ranní</t>
  </si>
  <si>
    <t>Počet 6-14:30</t>
  </si>
  <si>
    <t>Počet 6-18h</t>
  </si>
  <si>
    <t>Počet So + Ne</t>
  </si>
  <si>
    <t>Počet So</t>
  </si>
  <si>
    <t>Počet So přísl.</t>
  </si>
  <si>
    <t>Nový rok</t>
  </si>
  <si>
    <t>Velký pátek</t>
  </si>
  <si>
    <t>Přechodné</t>
  </si>
  <si>
    <t>Velikonoční pondělí</t>
  </si>
  <si>
    <t>Svátek práce</t>
  </si>
  <si>
    <t>Den osvobození ČSR</t>
  </si>
  <si>
    <t>Den slovanských věrozvěstů Cyrila a Metoděje</t>
  </si>
  <si>
    <t>Den upálení mistra Jana Husa</t>
  </si>
  <si>
    <t>Den české státnosti</t>
  </si>
  <si>
    <t>Den vzniku samostatného československého státu</t>
  </si>
  <si>
    <t>Den boje za svobodu a demokracii</t>
  </si>
  <si>
    <t>Štědrý den</t>
  </si>
  <si>
    <t>1. svátek vánoční (Boží hod)</t>
  </si>
  <si>
    <t>2. svátek vánoční</t>
  </si>
  <si>
    <t>Od:</t>
  </si>
  <si>
    <t>Do:</t>
  </si>
  <si>
    <t>ZADEJ ROK</t>
  </si>
  <si>
    <t>Služby o svátcích</t>
  </si>
  <si>
    <t>6-14:30h</t>
  </si>
  <si>
    <t>Počet služeb</t>
  </si>
  <si>
    <t>Počet Příslužeb</t>
  </si>
  <si>
    <t>Svátky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</si>
</sst>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"/>
    <numFmt numFmtId="165" formatCode="dd/mm/"/>
    <numFmt numFmtId="166" formatCode="dd\.mm\."/>
  </numFmts>
  <fonts count="7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4"/>
      <name val="Times New Roman"/>
      <family val="1"/>
      <charset val="238"/>
    </font>
    <font>
      <sz val="12"/>
      <color theme="9" tint="-0.249977111117893"/>
      <name val="Times New Roman"/>
      <family val="1"/>
      <charset val="238"/>
    </font>
    <font>
      <sz val="12"/>
      <color rgb="FF00B050"/>
      <name val="Times New Roman"/>
      <family val="1"/>
      <charset val="238"/>
    </font>
    <font>
      <sz val="12"/>
      <color rgb="FF00B0F0"/>
      <name val="Times New Roman"/>
      <family val="1"/>
      <charset val="238"/>
    </font>
    <font>
      <b/>
      <sz val="12"/>
      <color theme="3" tint="0.39997558519241921"/>
      <name val="Times New Roman"/>
      <family val="1"/>
      <charset val="238"/>
    </font>
    <font>
      <b/>
      <sz val="12"/>
      <color rgb="FF009900"/>
      <name val="Times New Roman"/>
      <family val="1"/>
      <charset val="238"/>
    </font>
    <font>
      <b/>
      <sz val="12"/>
      <color theme="9"/>
      <name val="Times New Roman"/>
      <family val="1"/>
      <charset val="238"/>
    </font>
    <font>
      <b/>
      <sz val="12"/>
      <color theme="8"/>
      <name val="Times New Roman"/>
      <family val="1"/>
      <charset val="238"/>
    </font>
    <font>
      <b/>
      <u/>
      <sz val="12"/>
      <color theme="1"/>
      <name val="Times New Roman"/>
      <family val="1"/>
      <charset val="238"/>
    </font>
    <font>
      <b/>
      <u/>
      <sz val="11"/>
      <color theme="1"/>
      <name val="Times New Roman"/>
      <family val="1"/>
      <charset val="238"/>
    </font>
    <font>
      <b/>
      <u/>
      <sz val="11"/>
      <color theme="1"/>
      <name val="Calibri"/>
      <family val="2"/>
      <charset val="238"/>
      <scheme val="minor"/>
    </font>
    <font>
      <b/>
      <sz val="12"/>
      <color rgb="FFFF99CC"/>
      <name val="Times New Roman"/>
      <family val="1"/>
      <charset val="238"/>
    </font>
    <font>
      <b/>
      <sz val="12"/>
      <color rgb="FFCC3300"/>
      <name val="Times New Roman"/>
      <family val="1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2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2" fillId="0" borderId="0" xfId="0" applyFont="1" applyFill="1" applyBorder="1" applyAlignment="1">
      <alignment horizontal="left" vertical="center" indent="1"/>
    </xf>
    <xf numFmtId="0" fontId="5" fillId="0" borderId="64" xfId="0" applyFont="1" applyBorder="1"/>
    <xf numFmtId="0" fontId="5" fillId="0" borderId="0" xfId="0" applyFont="1" applyBorder="1"/>
    <xf numFmtId="0" fontId="23" fillId="0" borderId="66" xfId="0" applyFont="1" applyBorder="1"/>
    <xf numFmtId="0" fontId="5" fillId="0" borderId="21" xfId="0" applyFont="1" applyBorder="1"/>
    <xf numFmtId="0" fontId="58" fillId="0" borderId="66" xfId="0" applyFont="1" applyBorder="1"/>
    <xf numFmtId="0" fontId="5" fillId="0" borderId="0" xfId="0" applyFont="1" applyFill="1" applyBorder="1"/>
    <xf numFmtId="0" fontId="8" fillId="0" borderId="66" xfId="0" applyFont="1" applyBorder="1"/>
    <xf numFmtId="0" fontId="59" fillId="0" borderId="66" xfId="0" applyFont="1" applyBorder="1"/>
    <xf numFmtId="0" fontId="60" fillId="0" borderId="66" xfId="0" applyFont="1" applyBorder="1"/>
    <xf numFmtId="0" fontId="5" fillId="0" borderId="69" xfId="0" applyFont="1" applyBorder="1"/>
    <xf numFmtId="0" fontId="5" fillId="0" borderId="0" xfId="0" applyFont="1"/>
    <xf numFmtId="0" fontId="23" fillId="0" borderId="0" xfId="0" applyFont="1" applyBorder="1"/>
    <xf numFmtId="0" fontId="62" fillId="0" borderId="0" xfId="0" applyFont="1" applyBorder="1"/>
    <xf numFmtId="0" fontId="62" fillId="0" borderId="0" xfId="0" applyFont="1" applyFill="1" applyBorder="1"/>
    <xf numFmtId="0" fontId="62" fillId="0" borderId="21" xfId="0" applyFont="1" applyBorder="1"/>
    <xf numFmtId="0" fontId="63" fillId="0" borderId="0" xfId="0" applyFont="1" applyFill="1" applyBorder="1"/>
    <xf numFmtId="0" fontId="23" fillId="0" borderId="21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6" fillId="0" borderId="21" xfId="0" applyFont="1" applyBorder="1"/>
    <xf numFmtId="0" fontId="64" fillId="0" borderId="0" xfId="0" applyFont="1" applyBorder="1"/>
    <xf numFmtId="0" fontId="64" fillId="0" borderId="0" xfId="0" applyFont="1" applyFill="1" applyBorder="1"/>
    <xf numFmtId="0" fontId="64" fillId="0" borderId="21" xfId="0" applyFont="1" applyBorder="1"/>
    <xf numFmtId="0" fontId="63" fillId="0" borderId="0" xfId="0" applyFont="1" applyBorder="1"/>
    <xf numFmtId="0" fontId="63" fillId="0" borderId="21" xfId="0" applyFont="1" applyBorder="1"/>
    <xf numFmtId="14" fontId="0" fillId="0" borderId="0" xfId="0" applyNumberFormat="1"/>
    <xf numFmtId="14" fontId="23" fillId="0" borderId="0" xfId="0" applyNumberFormat="1" applyFont="1" applyBorder="1"/>
    <xf numFmtId="0" fontId="0" fillId="13" borderId="65" xfId="0" applyFill="1" applyBorder="1"/>
    <xf numFmtId="0" fontId="57" fillId="13" borderId="65" xfId="0" applyFont="1" applyFill="1" applyBorder="1"/>
    <xf numFmtId="0" fontId="67" fillId="13" borderId="65" xfId="0" applyFont="1" applyFill="1" applyBorder="1"/>
    <xf numFmtId="0" fontId="57" fillId="13" borderId="20" xfId="0" applyFont="1" applyFill="1" applyBorder="1"/>
    <xf numFmtId="0" fontId="56" fillId="13" borderId="20" xfId="0" applyFont="1" applyFill="1" applyBorder="1"/>
    <xf numFmtId="0" fontId="0" fillId="14" borderId="65" xfId="0" applyFill="1" applyBorder="1"/>
    <xf numFmtId="0" fontId="23" fillId="4" borderId="0" xfId="0" applyFont="1" applyFill="1" applyBorder="1"/>
    <xf numFmtId="14" fontId="5" fillId="4" borderId="0" xfId="0" applyNumberFormat="1" applyFont="1" applyFill="1" applyBorder="1"/>
    <xf numFmtId="0" fontId="0" fillId="0" borderId="0" xfId="0" applyNumberFormat="1"/>
    <xf numFmtId="0" fontId="0" fillId="13" borderId="6" xfId="0" applyFill="1" applyBorder="1"/>
    <xf numFmtId="0" fontId="56" fillId="0" borderId="16" xfId="0" applyFont="1" applyBorder="1"/>
    <xf numFmtId="0" fontId="57" fillId="0" borderId="6" xfId="0" applyFont="1" applyBorder="1"/>
    <xf numFmtId="0" fontId="0" fillId="0" borderId="16" xfId="0" applyBorder="1"/>
    <xf numFmtId="0" fontId="56" fillId="0" borderId="6" xfId="0" applyFont="1" applyBorder="1"/>
    <xf numFmtId="0" fontId="56" fillId="0" borderId="65" xfId="0" applyFont="1" applyBorder="1"/>
    <xf numFmtId="0" fontId="0" fillId="14" borderId="6" xfId="0" applyFill="1" applyBorder="1"/>
    <xf numFmtId="0" fontId="66" fillId="0" borderId="0" xfId="0" applyFont="1" applyBorder="1"/>
    <xf numFmtId="0" fontId="0" fillId="0" borderId="6" xfId="0" applyBorder="1"/>
    <xf numFmtId="0" fontId="68" fillId="13" borderId="6" xfId="0" applyFont="1" applyFill="1" applyBorder="1"/>
    <xf numFmtId="0" fontId="0" fillId="0" borderId="65" xfId="0" applyBorder="1"/>
    <xf numFmtId="0" fontId="54" fillId="13" borderId="6" xfId="0" applyFont="1" applyFill="1" applyBorder="1"/>
    <xf numFmtId="0" fontId="23" fillId="0" borderId="21" xfId="0" applyFont="1" applyFill="1" applyBorder="1"/>
    <xf numFmtId="0" fontId="0" fillId="0" borderId="8" xfId="0" applyBorder="1"/>
    <xf numFmtId="0" fontId="0" fillId="0" borderId="14" xfId="0" applyBorder="1"/>
    <xf numFmtId="0" fontId="0" fillId="13" borderId="71" xfId="0" applyFill="1" applyBorder="1"/>
    <xf numFmtId="0" fontId="0" fillId="0" borderId="47" xfId="0" applyBorder="1"/>
    <xf numFmtId="165" fontId="5" fillId="0" borderId="3" xfId="0" applyNumberFormat="1" applyFont="1" applyBorder="1"/>
    <xf numFmtId="165" fontId="5" fillId="0" borderId="13" xfId="0" applyNumberFormat="1" applyFont="1" applyBorder="1"/>
    <xf numFmtId="165" fontId="5" fillId="13" borderId="64" xfId="0" applyNumberFormat="1" applyFont="1" applyFill="1" applyBorder="1"/>
    <xf numFmtId="165" fontId="5" fillId="13" borderId="72" xfId="0" applyNumberFormat="1" applyFont="1" applyFill="1" applyBorder="1"/>
    <xf numFmtId="165" fontId="5" fillId="0" borderId="70" xfId="0" applyNumberFormat="1" applyFont="1" applyBorder="1"/>
    <xf numFmtId="165" fontId="5" fillId="0" borderId="9" xfId="0" applyNumberFormat="1" applyFont="1" applyBorder="1"/>
    <xf numFmtId="0" fontId="0" fillId="14" borderId="0" xfId="0" applyFill="1" applyBorder="1"/>
    <xf numFmtId="0" fontId="68" fillId="14" borderId="6" xfId="0" applyFont="1" applyFill="1" applyBorder="1"/>
    <xf numFmtId="0" fontId="54" fillId="14" borderId="6" xfId="0" applyFont="1" applyFill="1" applyBorder="1"/>
    <xf numFmtId="0" fontId="0" fillId="14" borderId="47" xfId="0" applyFill="1" applyBorder="1"/>
    <xf numFmtId="0" fontId="0" fillId="14" borderId="71" xfId="0" applyFill="1" applyBorder="1"/>
    <xf numFmtId="166" fontId="5" fillId="14" borderId="70" xfId="0" applyNumberFormat="1" applyFont="1" applyFill="1" applyBorder="1"/>
    <xf numFmtId="166" fontId="5" fillId="0" borderId="9" xfId="0" applyNumberFormat="1" applyFont="1" applyBorder="1"/>
    <xf numFmtId="166" fontId="5" fillId="0" borderId="13" xfId="0" applyNumberFormat="1" applyFont="1" applyBorder="1"/>
    <xf numFmtId="166" fontId="5" fillId="13" borderId="64" xfId="0" applyNumberFormat="1" applyFont="1" applyFill="1" applyBorder="1"/>
    <xf numFmtId="166" fontId="5" fillId="13" borderId="72" xfId="0" applyNumberFormat="1" applyFont="1" applyFill="1" applyBorder="1"/>
    <xf numFmtId="166" fontId="5" fillId="0" borderId="70" xfId="0" applyNumberFormat="1" applyFont="1" applyBorder="1"/>
    <xf numFmtId="166" fontId="5" fillId="14" borderId="13" xfId="0" applyNumberFormat="1" applyFont="1" applyFill="1" applyBorder="1"/>
    <xf numFmtId="166" fontId="5" fillId="14" borderId="72" xfId="0" applyNumberFormat="1" applyFont="1" applyFill="1" applyBorder="1"/>
    <xf numFmtId="166" fontId="5" fillId="14" borderId="64" xfId="0" applyNumberFormat="1" applyFont="1" applyFill="1" applyBorder="1"/>
    <xf numFmtId="0" fontId="5" fillId="0" borderId="16" xfId="0" applyFont="1" applyBorder="1"/>
    <xf numFmtId="0" fontId="5" fillId="0" borderId="6" xfId="0" applyFont="1" applyBorder="1"/>
    <xf numFmtId="0" fontId="5" fillId="0" borderId="65" xfId="0" applyFont="1" applyBorder="1"/>
    <xf numFmtId="0" fontId="5" fillId="14" borderId="0" xfId="0" applyFont="1" applyFill="1" applyBorder="1"/>
    <xf numFmtId="0" fontId="66" fillId="13" borderId="65" xfId="0" applyFont="1" applyFill="1" applyBorder="1"/>
    <xf numFmtId="0" fontId="5" fillId="14" borderId="6" xfId="0" applyFont="1" applyFill="1" applyBorder="1"/>
    <xf numFmtId="0" fontId="5" fillId="14" borderId="65" xfId="0" applyFont="1" applyFill="1" applyBorder="1"/>
    <xf numFmtId="0" fontId="66" fillId="14" borderId="65" xfId="0" applyFont="1" applyFill="1" applyBorder="1"/>
    <xf numFmtId="0" fontId="23" fillId="13" borderId="65" xfId="0" applyFont="1" applyFill="1" applyBorder="1"/>
    <xf numFmtId="0" fontId="23" fillId="14" borderId="65" xfId="0" applyFont="1" applyFill="1" applyBorder="1"/>
    <xf numFmtId="0" fontId="5" fillId="14" borderId="15" xfId="0" applyFont="1" applyFill="1" applyBorder="1"/>
    <xf numFmtId="0" fontId="5" fillId="13" borderId="20" xfId="0" applyFont="1" applyFill="1" applyBorder="1"/>
    <xf numFmtId="0" fontId="5" fillId="14" borderId="14" xfId="0" applyFont="1" applyFill="1" applyBorder="1"/>
    <xf numFmtId="0" fontId="5" fillId="14" borderId="20" xfId="0" applyFont="1" applyFill="1" applyBorder="1"/>
    <xf numFmtId="0" fontId="65" fillId="0" borderId="0" xfId="0" applyFont="1" applyBorder="1"/>
    <xf numFmtId="0" fontId="65" fillId="0" borderId="0" xfId="0" applyFont="1" applyFill="1" applyBorder="1"/>
    <xf numFmtId="0" fontId="0" fillId="14" borderId="0" xfId="0" applyFill="1"/>
    <xf numFmtId="0" fontId="5" fillId="0" borderId="66" xfId="0" applyFont="1" applyBorder="1"/>
    <xf numFmtId="0" fontId="23" fillId="0" borderId="0" xfId="0" applyFont="1" applyFill="1" applyBorder="1"/>
    <xf numFmtId="0" fontId="61" fillId="0" borderId="66" xfId="0" applyFont="1" applyBorder="1"/>
    <xf numFmtId="0" fontId="65" fillId="0" borderId="21" xfId="0" applyFont="1" applyBorder="1"/>
    <xf numFmtId="0" fontId="69" fillId="0" borderId="67" xfId="0" applyFont="1" applyBorder="1"/>
    <xf numFmtId="0" fontId="69" fillId="0" borderId="68" xfId="0" applyFont="1" applyBorder="1"/>
    <xf numFmtId="0" fontId="69" fillId="0" borderId="69" xfId="0" applyFont="1" applyBorder="1"/>
    <xf numFmtId="0" fontId="23" fillId="0" borderId="0" xfId="0" applyFont="1"/>
    <xf numFmtId="0" fontId="66" fillId="0" borderId="0" xfId="0" applyFont="1"/>
    <xf numFmtId="14" fontId="5" fillId="0" borderId="0" xfId="0" applyNumberFormat="1" applyFont="1"/>
    <xf numFmtId="0" fontId="5" fillId="0" borderId="34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23" fillId="0" borderId="66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6" fillId="0" borderId="6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70" fillId="0" borderId="66" xfId="0" applyFont="1" applyBorder="1" applyAlignment="1">
      <alignment vertical="center"/>
    </xf>
    <xf numFmtId="0" fontId="70" fillId="0" borderId="0" xfId="0" applyFont="1" applyAlignment="1">
      <alignment horizontal="center" vertical="center"/>
    </xf>
    <xf numFmtId="0" fontId="63" fillId="0" borderId="66" xfId="0" applyFont="1" applyBorder="1" applyAlignment="1">
      <alignment vertical="center"/>
    </xf>
    <xf numFmtId="0" fontId="63" fillId="0" borderId="0" xfId="0" applyFont="1" applyAlignment="1">
      <alignment horizontal="center" vertical="center"/>
    </xf>
    <xf numFmtId="0" fontId="9" fillId="0" borderId="66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7" fillId="0" borderId="67" xfId="0" applyFont="1" applyBorder="1" applyAlignment="1">
      <alignment vertical="center"/>
    </xf>
    <xf numFmtId="0" fontId="27" fillId="0" borderId="68" xfId="0" applyFont="1" applyBorder="1" applyAlignment="1">
      <alignment horizontal="center" vertical="center"/>
    </xf>
    <xf numFmtId="0" fontId="0" fillId="14" borderId="15" xfId="0" applyFill="1" applyBorder="1"/>
    <xf numFmtId="0" fontId="66" fillId="13" borderId="6" xfId="0" applyFont="1" applyFill="1" applyBorder="1"/>
    <xf numFmtId="0" fontId="23" fillId="13" borderId="6" xfId="0" applyFont="1" applyFill="1" applyBorder="1"/>
    <xf numFmtId="0" fontId="5" fillId="13" borderId="14" xfId="0" applyFont="1" applyFill="1" applyBorder="1"/>
    <xf numFmtId="0" fontId="0" fillId="13" borderId="14" xfId="0" applyFill="1" applyBorder="1"/>
    <xf numFmtId="166" fontId="5" fillId="14" borderId="13" xfId="0" applyNumberFormat="1" applyFont="1" applyFill="1" applyBorder="1" applyAlignment="1">
      <alignment horizontal="center" vertical="center"/>
    </xf>
    <xf numFmtId="166" fontId="5" fillId="0" borderId="9" xfId="0" applyNumberFormat="1" applyFont="1" applyBorder="1" applyAlignment="1">
      <alignment horizontal="center"/>
    </xf>
    <xf numFmtId="166" fontId="5" fillId="0" borderId="13" xfId="0" applyNumberFormat="1" applyFont="1" applyBorder="1" applyAlignment="1">
      <alignment horizontal="center"/>
    </xf>
    <xf numFmtId="166" fontId="5" fillId="13" borderId="13" xfId="0" applyNumberFormat="1" applyFont="1" applyFill="1" applyBorder="1" applyAlignment="1">
      <alignment horizontal="center"/>
    </xf>
    <xf numFmtId="166" fontId="5" fillId="14" borderId="13" xfId="0" applyNumberFormat="1" applyFont="1" applyFill="1" applyBorder="1" applyAlignment="1">
      <alignment horizontal="center"/>
    </xf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FF99CC"/>
      <color rgb="FF009900"/>
      <color rgb="FF0000FF"/>
      <color rgb="FFFFFF99"/>
      <color rgb="FF003399"/>
      <color rgb="FFCCECFF"/>
      <color rgb="FFCC0000"/>
      <color rgb="FF99CCFF"/>
      <color rgb="FF0033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8</xdr:row>
          <xdr:rowOff>66675</xdr:rowOff>
        </xdr:from>
        <xdr:to>
          <xdr:col>11</xdr:col>
          <xdr:colOff>114300</xdr:colOff>
          <xdr:row>11</xdr:row>
          <xdr:rowOff>180975</xdr:rowOff>
        </xdr:to>
        <xdr:sp macro="" textlink="">
          <xdr:nvSpPr>
            <xdr:cNvPr id="9217" name="CalcSchTest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95250</xdr:rowOff>
        </xdr:from>
        <xdr:to>
          <xdr:col>12</xdr:col>
          <xdr:colOff>104775</xdr:colOff>
          <xdr:row>10</xdr:row>
          <xdr:rowOff>57150</xdr:rowOff>
        </xdr:to>
        <xdr:sp macro="" textlink="">
          <xdr:nvSpPr>
            <xdr:cNvPr id="9218" name="CheckMistak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10</xdr:row>
          <xdr:rowOff>76200</xdr:rowOff>
        </xdr:from>
        <xdr:to>
          <xdr:col>11</xdr:col>
          <xdr:colOff>1009650</xdr:colOff>
          <xdr:row>11</xdr:row>
          <xdr:rowOff>171450</xdr:rowOff>
        </xdr:to>
        <xdr:sp macro="" textlink="">
          <xdr:nvSpPr>
            <xdr:cNvPr id="9220" name="deletebtt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66675</xdr:rowOff>
        </xdr:from>
        <xdr:to>
          <xdr:col>12</xdr:col>
          <xdr:colOff>466725</xdr:colOff>
          <xdr:row>14</xdr:row>
          <xdr:rowOff>38100</xdr:rowOff>
        </xdr:to>
        <xdr:sp macro="" textlink="">
          <xdr:nvSpPr>
            <xdr:cNvPr id="9221" name="RecalcBtt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7</xdr:row>
          <xdr:rowOff>28575</xdr:rowOff>
        </xdr:from>
        <xdr:to>
          <xdr:col>10</xdr:col>
          <xdr:colOff>857250</xdr:colOff>
          <xdr:row>9</xdr:row>
          <xdr:rowOff>85725</xdr:rowOff>
        </xdr:to>
        <xdr:sp macro="" textlink="">
          <xdr:nvSpPr>
            <xdr:cNvPr id="1026" name="CalculateSchedu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1209675</xdr:colOff>
          <xdr:row>9</xdr:row>
          <xdr:rowOff>85725</xdr:rowOff>
        </xdr:from>
        <xdr:to>
          <xdr:col>11</xdr:col>
          <xdr:colOff>1123950</xdr:colOff>
          <xdr:row>11</xdr:row>
          <xdr:rowOff>76200</xdr:rowOff>
        </xdr:to>
        <xdr:sp macro="" textlink="">
          <xdr:nvSpPr>
            <xdr:cNvPr id="1027" name="CheckForErrorsBt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161925</xdr:rowOff>
        </xdr:from>
        <xdr:to>
          <xdr:col>10</xdr:col>
          <xdr:colOff>1095375</xdr:colOff>
          <xdr:row>11</xdr:row>
          <xdr:rowOff>85725</xdr:rowOff>
        </xdr:to>
        <xdr:sp macro="" textlink="">
          <xdr:nvSpPr>
            <xdr:cNvPr id="1028" name="Delete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942975</xdr:colOff>
          <xdr:row>7</xdr:row>
          <xdr:rowOff>57150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1029" name="Recalc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393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400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394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401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394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401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403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401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404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401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405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402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395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396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397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398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399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2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topLeftCell="A4" zoomScaleNormal="100" workbookViewId="0">
      <selection activeCell="J17" sqref="J17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406" t="s">
        <v>191</v>
      </c>
      <c r="B1" s="406"/>
      <c r="C1" s="406"/>
      <c r="D1" s="406"/>
      <c r="E1" s="406"/>
      <c r="F1" s="406"/>
      <c r="G1" s="406" t="s">
        <v>192</v>
      </c>
      <c r="H1" s="406"/>
      <c r="I1" s="406"/>
      <c r="J1" s="406"/>
      <c r="K1" s="406"/>
      <c r="L1" s="406"/>
      <c r="M1" s="406" t="s">
        <v>195</v>
      </c>
      <c r="N1" s="406"/>
      <c r="O1" s="406"/>
      <c r="P1" s="406"/>
      <c r="Q1" s="406"/>
      <c r="R1" s="406"/>
      <c r="S1" s="406" t="s">
        <v>196</v>
      </c>
      <c r="T1" s="406"/>
      <c r="U1" s="406"/>
      <c r="V1" s="406"/>
      <c r="W1" s="406"/>
      <c r="X1" s="406"/>
      <c r="Y1" s="406" t="s">
        <v>197</v>
      </c>
      <c r="Z1" s="406"/>
      <c r="AA1" s="406"/>
      <c r="AB1" s="406"/>
      <c r="AC1" s="406"/>
      <c r="AD1" s="406"/>
      <c r="AE1" s="406" t="s">
        <v>198</v>
      </c>
      <c r="AF1" s="406"/>
      <c r="AG1" s="406"/>
      <c r="AH1" s="406"/>
      <c r="AI1" s="406"/>
      <c r="AJ1" s="406"/>
      <c r="AK1" s="406" t="s">
        <v>199</v>
      </c>
      <c r="AL1" s="406"/>
      <c r="AM1" s="406"/>
      <c r="AN1" s="406"/>
      <c r="AO1" s="406"/>
      <c r="AP1" s="406"/>
      <c r="AQ1" s="406" t="s">
        <v>200</v>
      </c>
      <c r="AR1" s="406"/>
      <c r="AS1" s="406"/>
      <c r="AT1" s="406"/>
      <c r="AU1" s="406"/>
      <c r="AV1" s="406"/>
      <c r="AW1" s="406" t="s">
        <v>201</v>
      </c>
      <c r="AX1" s="406"/>
      <c r="AY1" s="406"/>
      <c r="AZ1" s="406"/>
      <c r="BA1" s="406"/>
      <c r="BB1" s="406"/>
      <c r="BC1" s="406" t="s">
        <v>202</v>
      </c>
      <c r="BD1" s="406"/>
      <c r="BE1" s="406"/>
      <c r="BF1" s="406"/>
      <c r="BG1" s="406"/>
      <c r="BH1" s="406"/>
      <c r="BI1" s="406" t="s">
        <v>203</v>
      </c>
      <c r="BJ1" s="406"/>
      <c r="BK1" s="406"/>
      <c r="BL1" s="406"/>
      <c r="BM1" s="406"/>
      <c r="BN1" s="406"/>
      <c r="BO1" s="406" t="s">
        <v>204</v>
      </c>
      <c r="BP1" s="406"/>
      <c r="BQ1" s="406"/>
      <c r="BR1" s="406"/>
      <c r="BS1" s="406"/>
      <c r="BT1" s="406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322">
        <v>43832</v>
      </c>
      <c r="B4" s="307" t="s">
        <v>10</v>
      </c>
      <c r="C4" s="313"/>
      <c r="D4" s="313"/>
      <c r="E4" s="319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thickBot="1" x14ac:dyDescent="0.3">
      <c r="A5" s="323">
        <v>43833</v>
      </c>
      <c r="B5" s="309" t="s">
        <v>147</v>
      </c>
      <c r="C5" s="313"/>
      <c r="D5" s="313"/>
      <c r="E5" s="319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324">
        <v>43834</v>
      </c>
      <c r="B6" s="296"/>
      <c r="C6" s="298" t="s">
        <v>2</v>
      </c>
      <c r="D6" s="297" t="s">
        <v>91</v>
      </c>
      <c r="E6" s="299" t="s">
        <v>147</v>
      </c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thickBot="1" x14ac:dyDescent="0.3">
      <c r="A7" s="325">
        <v>43835</v>
      </c>
      <c r="B7" s="305"/>
      <c r="C7" s="314"/>
      <c r="D7" s="316"/>
      <c r="E7" s="320"/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326">
        <v>43836</v>
      </c>
      <c r="B8" s="310" t="s">
        <v>3</v>
      </c>
      <c r="C8" s="315"/>
      <c r="D8" s="315"/>
      <c r="E8" s="321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323">
        <v>43837</v>
      </c>
      <c r="B9" s="309" t="s">
        <v>8</v>
      </c>
      <c r="C9" s="313"/>
      <c r="D9" s="313"/>
      <c r="E9" s="319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323">
        <v>43838</v>
      </c>
      <c r="B10" s="309" t="s">
        <v>90</v>
      </c>
      <c r="C10" s="313"/>
      <c r="D10" s="313"/>
      <c r="E10" s="319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323">
        <v>43839</v>
      </c>
      <c r="B11" s="309" t="s">
        <v>91</v>
      </c>
      <c r="C11" s="313"/>
      <c r="D11" s="313"/>
      <c r="E11" s="319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thickBot="1" x14ac:dyDescent="0.3">
      <c r="A12" s="323">
        <v>43840</v>
      </c>
      <c r="B12" s="309" t="s">
        <v>5</v>
      </c>
      <c r="C12" s="313"/>
      <c r="D12" s="313"/>
      <c r="E12" s="319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324">
        <v>43841</v>
      </c>
      <c r="B13" s="296"/>
      <c r="C13" s="298" t="s">
        <v>7</v>
      </c>
      <c r="D13" s="297" t="s">
        <v>5</v>
      </c>
      <c r="E13" s="300" t="s">
        <v>90</v>
      </c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thickBot="1" x14ac:dyDescent="0.3">
      <c r="A14" s="325">
        <v>43842</v>
      </c>
      <c r="B14" s="305"/>
      <c r="C14" s="314"/>
      <c r="D14" s="316"/>
      <c r="E14" s="320"/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326">
        <v>43843</v>
      </c>
      <c r="B15" s="310" t="s">
        <v>6</v>
      </c>
      <c r="C15" s="315"/>
      <c r="D15" s="315"/>
      <c r="E15" s="321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323">
        <v>43844</v>
      </c>
      <c r="B16" s="309" t="s">
        <v>4</v>
      </c>
      <c r="C16" s="313"/>
      <c r="D16" s="313"/>
      <c r="E16" s="319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323">
        <v>43845</v>
      </c>
      <c r="B17" s="309" t="s">
        <v>2</v>
      </c>
      <c r="C17" s="313"/>
      <c r="D17" s="313"/>
      <c r="E17" s="319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323">
        <v>43846</v>
      </c>
      <c r="B18" s="309" t="s">
        <v>7</v>
      </c>
      <c r="C18" s="313"/>
      <c r="D18" s="313"/>
      <c r="E18" s="319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thickBot="1" x14ac:dyDescent="0.3">
      <c r="A19" s="323">
        <v>43847</v>
      </c>
      <c r="B19" s="307" t="s">
        <v>10</v>
      </c>
      <c r="C19" s="313"/>
      <c r="D19" s="313"/>
      <c r="E19" s="319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324">
        <v>43848</v>
      </c>
      <c r="B20" s="296"/>
      <c r="C20" s="298" t="s">
        <v>10</v>
      </c>
      <c r="D20" s="297" t="s">
        <v>3</v>
      </c>
      <c r="E20" s="300" t="s">
        <v>4</v>
      </c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thickBot="1" x14ac:dyDescent="0.3">
      <c r="A21" s="325">
        <v>43849</v>
      </c>
      <c r="B21" s="305"/>
      <c r="C21" s="314"/>
      <c r="D21" s="316"/>
      <c r="E21" s="320"/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326">
        <v>43850</v>
      </c>
      <c r="B22" s="310" t="s">
        <v>147</v>
      </c>
      <c r="C22" s="315"/>
      <c r="D22" s="315"/>
      <c r="E22" s="321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323">
        <v>43851</v>
      </c>
      <c r="B23" s="309" t="s">
        <v>3</v>
      </c>
      <c r="C23" s="313"/>
      <c r="D23" s="313"/>
      <c r="E23" s="319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323">
        <v>43852</v>
      </c>
      <c r="B24" s="309" t="s">
        <v>8</v>
      </c>
      <c r="C24" s="313"/>
      <c r="D24" s="313"/>
      <c r="E24" s="319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323">
        <v>43853</v>
      </c>
      <c r="B25" s="309" t="s">
        <v>90</v>
      </c>
      <c r="C25" s="313"/>
      <c r="D25" s="313"/>
      <c r="E25" s="319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thickBot="1" x14ac:dyDescent="0.3">
      <c r="A26" s="323">
        <v>43854</v>
      </c>
      <c r="B26" s="309" t="s">
        <v>91</v>
      </c>
      <c r="C26" s="313"/>
      <c r="D26" s="313"/>
      <c r="E26" s="319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324">
        <v>43855</v>
      </c>
      <c r="B27" s="296"/>
      <c r="C27" s="298" t="s">
        <v>2</v>
      </c>
      <c r="D27" s="297" t="s">
        <v>6</v>
      </c>
      <c r="E27" s="300" t="s">
        <v>7</v>
      </c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thickBot="1" x14ac:dyDescent="0.3">
      <c r="A28" s="325">
        <v>43856</v>
      </c>
      <c r="B28" s="305"/>
      <c r="C28" s="314"/>
      <c r="D28" s="316"/>
      <c r="E28" s="320"/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326">
        <v>43857</v>
      </c>
      <c r="B29" s="310" t="s">
        <v>5</v>
      </c>
      <c r="C29" s="315"/>
      <c r="D29" s="315"/>
      <c r="E29" s="321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323">
        <v>43858</v>
      </c>
      <c r="B30" s="309" t="s">
        <v>6</v>
      </c>
      <c r="C30" s="313"/>
      <c r="D30" s="313"/>
      <c r="E30" s="319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323">
        <v>43859</v>
      </c>
      <c r="B31" s="309" t="s">
        <v>4</v>
      </c>
      <c r="C31" s="313"/>
      <c r="D31" s="313"/>
      <c r="E31" s="319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323">
        <v>43860</v>
      </c>
      <c r="B32" s="309" t="s">
        <v>2</v>
      </c>
      <c r="C32" s="313"/>
      <c r="D32" s="313"/>
      <c r="E32" s="319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327">
        <v>43861</v>
      </c>
      <c r="B33" s="306" t="s">
        <v>7</v>
      </c>
      <c r="C33" s="308"/>
      <c r="D33" s="308"/>
      <c r="E33" s="318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BI1:BN1"/>
    <mergeCell ref="BO1:BT1"/>
    <mergeCell ref="AE1:AJ1"/>
    <mergeCell ref="AK1:AP1"/>
    <mergeCell ref="AQ1:AV1"/>
    <mergeCell ref="AW1:BB1"/>
    <mergeCell ref="BC1:BH1"/>
    <mergeCell ref="A1:F1"/>
    <mergeCell ref="G1:L1"/>
    <mergeCell ref="M1:R1"/>
    <mergeCell ref="S1:X1"/>
    <mergeCell ref="Y1:AD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L22" sqref="L22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409" t="s">
        <v>56</v>
      </c>
      <c r="E16" s="410"/>
      <c r="F16" s="411" t="s">
        <v>57</v>
      </c>
      <c r="G16" s="412"/>
    </row>
    <row r="17" spans="1:7" ht="19.5" customHeight="1" x14ac:dyDescent="0.25">
      <c r="A17" s="54" t="s">
        <v>3</v>
      </c>
      <c r="B17" s="202"/>
      <c r="C17" s="160"/>
      <c r="D17" s="413" t="s">
        <v>180</v>
      </c>
      <c r="E17" s="414"/>
      <c r="F17" s="417" t="s">
        <v>148</v>
      </c>
      <c r="G17" s="418"/>
    </row>
    <row r="18" spans="1:7" ht="19.5" x14ac:dyDescent="0.25">
      <c r="A18" s="58" t="s">
        <v>4</v>
      </c>
      <c r="B18" s="201"/>
      <c r="C18" s="203">
        <v>43831</v>
      </c>
      <c r="D18" s="413" t="s">
        <v>149</v>
      </c>
      <c r="E18" s="414"/>
      <c r="F18" s="417" t="s">
        <v>150</v>
      </c>
      <c r="G18" s="418"/>
    </row>
    <row r="19" spans="1:7" ht="19.5" x14ac:dyDescent="0.25">
      <c r="A19" s="58" t="s">
        <v>90</v>
      </c>
      <c r="B19" s="201" t="s">
        <v>186</v>
      </c>
      <c r="C19" s="161"/>
      <c r="D19" s="413">
        <v>2016</v>
      </c>
      <c r="E19" s="414"/>
      <c r="F19" s="417">
        <v>2018</v>
      </c>
      <c r="G19" s="418"/>
    </row>
    <row r="20" spans="1:7" ht="19.5" x14ac:dyDescent="0.25">
      <c r="A20" s="54" t="s">
        <v>91</v>
      </c>
      <c r="B20" s="201" t="s">
        <v>186</v>
      </c>
      <c r="C20" s="161"/>
      <c r="D20" s="413"/>
      <c r="E20" s="414"/>
      <c r="F20" s="417">
        <v>2017</v>
      </c>
      <c r="G20" s="418"/>
    </row>
    <row r="21" spans="1:7" ht="19.5" x14ac:dyDescent="0.25">
      <c r="A21" s="54" t="s">
        <v>7</v>
      </c>
      <c r="B21" s="201"/>
      <c r="C21" s="161"/>
      <c r="D21" s="413" t="s">
        <v>184</v>
      </c>
      <c r="E21" s="414"/>
      <c r="F21" s="417" t="s">
        <v>107</v>
      </c>
      <c r="G21" s="418"/>
    </row>
    <row r="22" spans="1:7" ht="19.5" x14ac:dyDescent="0.25">
      <c r="A22" s="58" t="s">
        <v>8</v>
      </c>
      <c r="B22" s="201"/>
      <c r="C22" s="203">
        <v>43831</v>
      </c>
      <c r="D22" s="413" t="s">
        <v>183</v>
      </c>
      <c r="E22" s="414"/>
      <c r="F22" s="417">
        <v>2015</v>
      </c>
      <c r="G22" s="418"/>
    </row>
    <row r="23" spans="1:7" ht="19.5" customHeight="1" x14ac:dyDescent="0.25">
      <c r="A23" s="54" t="s">
        <v>10</v>
      </c>
      <c r="B23" s="202"/>
      <c r="C23" s="160"/>
      <c r="D23" s="413" t="s">
        <v>181</v>
      </c>
      <c r="E23" s="414"/>
      <c r="F23" s="417" t="s">
        <v>108</v>
      </c>
      <c r="G23" s="418"/>
    </row>
    <row r="24" spans="1:7" ht="19.5" x14ac:dyDescent="0.25">
      <c r="A24" s="54" t="s">
        <v>147</v>
      </c>
      <c r="B24" s="201"/>
      <c r="C24" s="161"/>
      <c r="D24" s="413" t="s">
        <v>182</v>
      </c>
      <c r="E24" s="414"/>
      <c r="F24" s="417" t="s">
        <v>187</v>
      </c>
      <c r="G24" s="418"/>
    </row>
    <row r="25" spans="1:7" ht="19.5" x14ac:dyDescent="0.25">
      <c r="A25" s="54" t="s">
        <v>146</v>
      </c>
      <c r="B25" s="201"/>
      <c r="C25" s="203">
        <v>43831</v>
      </c>
      <c r="D25" s="415">
        <v>2018</v>
      </c>
      <c r="E25" s="416"/>
      <c r="F25" s="419"/>
      <c r="G25" s="420"/>
    </row>
    <row r="26" spans="1:7" ht="19.5" x14ac:dyDescent="0.25">
      <c r="A26" s="58" t="s">
        <v>2</v>
      </c>
      <c r="B26" s="201"/>
      <c r="C26" s="161"/>
      <c r="D26" s="413" t="s">
        <v>182</v>
      </c>
      <c r="E26" s="414"/>
      <c r="F26" s="413" t="s">
        <v>188</v>
      </c>
      <c r="G26" s="414"/>
    </row>
    <row r="27" spans="1:7" ht="19.5" customHeight="1" x14ac:dyDescent="0.25">
      <c r="A27" s="58" t="s">
        <v>5</v>
      </c>
      <c r="B27" s="201" t="s">
        <v>186</v>
      </c>
      <c r="C27" s="161"/>
      <c r="D27" s="413" t="s">
        <v>92</v>
      </c>
      <c r="E27" s="414"/>
      <c r="F27" s="417" t="s">
        <v>151</v>
      </c>
      <c r="G27" s="418"/>
    </row>
    <row r="28" spans="1:7" ht="19.5" x14ac:dyDescent="0.25">
      <c r="A28" s="54" t="s">
        <v>6</v>
      </c>
      <c r="B28" s="201"/>
      <c r="C28" s="160"/>
      <c r="D28" s="413" t="s">
        <v>185</v>
      </c>
      <c r="E28" s="414"/>
      <c r="F28" s="413" t="s">
        <v>93</v>
      </c>
      <c r="G28" s="414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407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408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F28:G28"/>
    <mergeCell ref="F23:G23"/>
    <mergeCell ref="F24:G24"/>
    <mergeCell ref="F25:G25"/>
    <mergeCell ref="F26:G26"/>
    <mergeCell ref="F27:G27"/>
    <mergeCell ref="F18:G18"/>
    <mergeCell ref="F19:G19"/>
    <mergeCell ref="F20:G20"/>
    <mergeCell ref="F21:G21"/>
    <mergeCell ref="F22:G22"/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421" t="s">
        <v>51</v>
      </c>
      <c r="D7" s="422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423"/>
      <c r="D8" s="424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425" t="s">
        <v>54</v>
      </c>
      <c r="D9" s="426"/>
      <c r="E9" s="30" t="s">
        <v>31</v>
      </c>
      <c r="F9" s="31" t="s">
        <v>34</v>
      </c>
    </row>
    <row r="10" spans="1:6" ht="30" customHeight="1" x14ac:dyDescent="0.25">
      <c r="A10" s="427" t="s">
        <v>52</v>
      </c>
      <c r="B10" s="427"/>
      <c r="C10" s="427"/>
      <c r="D10" s="427"/>
      <c r="E10" s="427"/>
      <c r="F10" s="427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C28" sqref="C28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428" t="s">
        <v>130</v>
      </c>
      <c r="C1" s="429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428" t="s">
        <v>115</v>
      </c>
      <c r="C35" s="429"/>
    </row>
    <row r="36" spans="1:3" ht="21.75" customHeight="1" x14ac:dyDescent="0.25">
      <c r="A36" s="143">
        <v>19</v>
      </c>
      <c r="B36" s="431"/>
      <c r="C36" s="431"/>
    </row>
    <row r="37" spans="1:3" ht="21.75" customHeight="1" x14ac:dyDescent="0.25">
      <c r="A37" s="144">
        <v>20</v>
      </c>
      <c r="B37" s="430"/>
      <c r="C37" s="430"/>
    </row>
    <row r="38" spans="1:3" ht="21.75" customHeight="1" x14ac:dyDescent="0.25">
      <c r="A38" s="144">
        <v>21</v>
      </c>
      <c r="B38" s="430"/>
      <c r="C38" s="430"/>
    </row>
    <row r="39" spans="1:3" ht="21.75" customHeight="1" x14ac:dyDescent="0.25">
      <c r="A39" s="144">
        <v>22</v>
      </c>
      <c r="B39" s="430"/>
      <c r="C39" s="430"/>
    </row>
    <row r="40" spans="1:3" ht="21.75" customHeight="1" x14ac:dyDescent="0.25">
      <c r="A40" s="144">
        <v>23</v>
      </c>
      <c r="B40" s="430"/>
      <c r="C40" s="430"/>
    </row>
    <row r="41" spans="1:3" ht="21.75" customHeight="1" x14ac:dyDescent="0.25">
      <c r="A41" s="144">
        <v>26</v>
      </c>
      <c r="B41" s="430"/>
      <c r="C41" s="430"/>
    </row>
    <row r="42" spans="1:3" ht="21.75" customHeight="1" x14ac:dyDescent="0.25">
      <c r="A42" s="144">
        <v>27</v>
      </c>
      <c r="B42" s="430"/>
      <c r="C42" s="430"/>
    </row>
    <row r="43" spans="1:3" ht="21.75" customHeight="1" x14ac:dyDescent="0.25">
      <c r="A43" s="144">
        <v>28</v>
      </c>
      <c r="B43" s="430"/>
      <c r="C43" s="430"/>
    </row>
    <row r="44" spans="1:3" ht="21.75" customHeight="1" x14ac:dyDescent="0.25">
      <c r="A44" s="144" t="s">
        <v>121</v>
      </c>
      <c r="B44" s="430"/>
      <c r="C44" s="430"/>
    </row>
    <row r="45" spans="1:3" ht="21.75" customHeight="1" x14ac:dyDescent="0.25">
      <c r="A45" s="144" t="s">
        <v>122</v>
      </c>
      <c r="B45" s="430"/>
      <c r="C45" s="430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Q393"/>
  <sheetViews>
    <sheetView zoomScaleNormal="100" workbookViewId="0">
      <selection activeCell="I21" sqref="I21"/>
    </sheetView>
  </sheetViews>
  <sheetFormatPr defaultRowHeight="15.75" x14ac:dyDescent="0.25"/>
  <cols>
    <col min="1" max="1" width="17.14062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269" t="s">
        <v>380</v>
      </c>
      <c r="B1" s="266" t="s">
        <v>3</v>
      </c>
      <c r="C1" s="266" t="s">
        <v>4</v>
      </c>
      <c r="D1" s="266" t="s">
        <v>90</v>
      </c>
      <c r="E1" s="266" t="s">
        <v>91</v>
      </c>
      <c r="F1" s="266" t="s">
        <v>7</v>
      </c>
      <c r="G1" s="266" t="s">
        <v>8</v>
      </c>
      <c r="H1" s="266" t="s">
        <v>10</v>
      </c>
      <c r="I1" s="266" t="s">
        <v>147</v>
      </c>
      <c r="J1" s="266" t="s">
        <v>2</v>
      </c>
      <c r="K1" s="266" t="s">
        <v>5</v>
      </c>
      <c r="L1" s="267" t="s">
        <v>6</v>
      </c>
    </row>
    <row r="2" spans="1:17" x14ac:dyDescent="0.25">
      <c r="A2" s="271" t="s">
        <v>381</v>
      </c>
      <c r="B2" s="280">
        <v>59</v>
      </c>
      <c r="C2" s="280">
        <v>59</v>
      </c>
      <c r="D2" s="280">
        <v>58</v>
      </c>
      <c r="E2" s="280">
        <v>58</v>
      </c>
      <c r="F2" s="280">
        <v>59</v>
      </c>
      <c r="G2" s="280">
        <v>59</v>
      </c>
      <c r="H2" s="280">
        <v>59</v>
      </c>
      <c r="I2" s="280">
        <v>59</v>
      </c>
      <c r="J2" s="280">
        <v>58</v>
      </c>
      <c r="K2" s="280">
        <v>61</v>
      </c>
      <c r="L2" s="285">
        <v>59</v>
      </c>
    </row>
    <row r="3" spans="1:17" x14ac:dyDescent="0.25">
      <c r="A3" s="273" t="s">
        <v>386</v>
      </c>
      <c r="B3" s="281">
        <v>17</v>
      </c>
      <c r="C3" s="282">
        <v>19</v>
      </c>
      <c r="D3" s="282">
        <v>18</v>
      </c>
      <c r="E3" s="281">
        <v>18</v>
      </c>
      <c r="F3" s="281">
        <v>18</v>
      </c>
      <c r="G3" s="281">
        <v>20</v>
      </c>
      <c r="H3" s="281">
        <v>19</v>
      </c>
      <c r="I3" s="281">
        <v>19</v>
      </c>
      <c r="J3" s="281">
        <v>20</v>
      </c>
      <c r="K3" s="281">
        <v>20</v>
      </c>
      <c r="L3" s="283">
        <v>20</v>
      </c>
      <c r="N3" s="274"/>
      <c r="O3" s="274"/>
      <c r="P3" s="274"/>
      <c r="Q3" s="274"/>
    </row>
    <row r="4" spans="1:17" ht="16.5" thickBot="1" x14ac:dyDescent="0.3">
      <c r="A4" s="275" t="s">
        <v>387</v>
      </c>
      <c r="B4" s="286">
        <v>25</v>
      </c>
      <c r="C4" s="287">
        <v>23</v>
      </c>
      <c r="D4" s="287">
        <v>23</v>
      </c>
      <c r="E4" s="286">
        <v>23</v>
      </c>
      <c r="F4" s="286">
        <v>24</v>
      </c>
      <c r="G4" s="286">
        <v>22</v>
      </c>
      <c r="H4" s="286">
        <v>23</v>
      </c>
      <c r="I4" s="286">
        <v>23</v>
      </c>
      <c r="J4" s="286">
        <v>22</v>
      </c>
      <c r="K4" s="286">
        <v>21</v>
      </c>
      <c r="L4" s="288">
        <v>22</v>
      </c>
      <c r="N4" s="274"/>
      <c r="O4" s="274"/>
      <c r="P4" s="274"/>
      <c r="Q4" s="274"/>
    </row>
    <row r="5" spans="1:17" x14ac:dyDescent="0.25">
      <c r="A5" s="276" t="s">
        <v>388</v>
      </c>
      <c r="B5" s="289">
        <v>4</v>
      </c>
      <c r="C5" s="290">
        <v>6</v>
      </c>
      <c r="D5" s="290">
        <v>7</v>
      </c>
      <c r="E5" s="289">
        <v>4</v>
      </c>
      <c r="F5" s="289">
        <v>5</v>
      </c>
      <c r="G5" s="289">
        <v>5</v>
      </c>
      <c r="H5" s="289">
        <v>5</v>
      </c>
      <c r="I5" s="289">
        <v>4</v>
      </c>
      <c r="J5" s="289">
        <v>3</v>
      </c>
      <c r="K5" s="289">
        <v>4</v>
      </c>
      <c r="L5" s="291">
        <v>4</v>
      </c>
      <c r="N5" s="274"/>
      <c r="O5" s="274"/>
      <c r="P5" s="266" t="s">
        <v>146</v>
      </c>
      <c r="Q5" s="274"/>
    </row>
    <row r="6" spans="1:17" x14ac:dyDescent="0.25">
      <c r="A6" s="277" t="s">
        <v>389</v>
      </c>
      <c r="B6" s="292">
        <v>5</v>
      </c>
      <c r="C6" s="284">
        <v>5</v>
      </c>
      <c r="D6" s="284">
        <v>5</v>
      </c>
      <c r="E6" s="292">
        <v>6</v>
      </c>
      <c r="F6" s="292">
        <v>4</v>
      </c>
      <c r="G6" s="292">
        <v>3</v>
      </c>
      <c r="H6" s="292">
        <v>5</v>
      </c>
      <c r="I6" s="292">
        <v>6</v>
      </c>
      <c r="J6" s="292">
        <v>4</v>
      </c>
      <c r="K6" s="292">
        <v>6</v>
      </c>
      <c r="L6" s="293">
        <v>5</v>
      </c>
      <c r="N6" s="274"/>
      <c r="O6" s="274"/>
      <c r="P6" s="274"/>
      <c r="Q6" s="274"/>
    </row>
    <row r="7" spans="1:17" x14ac:dyDescent="0.25">
      <c r="A7" s="361" t="s">
        <v>390</v>
      </c>
      <c r="B7" s="356">
        <v>5</v>
      </c>
      <c r="C7" s="357">
        <v>5</v>
      </c>
      <c r="D7" s="357">
        <v>5</v>
      </c>
      <c r="E7" s="356">
        <v>5</v>
      </c>
      <c r="F7" s="356">
        <v>5</v>
      </c>
      <c r="G7" s="356">
        <v>5</v>
      </c>
      <c r="H7" s="356">
        <v>4</v>
      </c>
      <c r="I7" s="356">
        <v>5</v>
      </c>
      <c r="J7" s="356">
        <v>4</v>
      </c>
      <c r="K7" s="356">
        <v>5</v>
      </c>
      <c r="L7" s="362">
        <v>6</v>
      </c>
      <c r="N7" s="268"/>
      <c r="O7" s="268"/>
      <c r="P7" s="268"/>
      <c r="Q7" s="268"/>
    </row>
    <row r="8" spans="1:17" ht="16.5" thickBot="1" x14ac:dyDescent="0.3">
      <c r="A8" s="363" t="s">
        <v>408</v>
      </c>
      <c r="B8" s="364">
        <v>3</v>
      </c>
      <c r="C8" s="364">
        <v>1</v>
      </c>
      <c r="D8" s="364">
        <v>0</v>
      </c>
      <c r="E8" s="364">
        <v>2</v>
      </c>
      <c r="F8" s="364">
        <v>3</v>
      </c>
      <c r="G8" s="364">
        <v>4</v>
      </c>
      <c r="H8" s="364">
        <v>3</v>
      </c>
      <c r="I8" s="364">
        <v>2</v>
      </c>
      <c r="J8" s="364">
        <v>5</v>
      </c>
      <c r="K8" s="364">
        <v>5</v>
      </c>
      <c r="L8" s="365">
        <v>2</v>
      </c>
      <c r="M8" s="279"/>
      <c r="N8" s="274"/>
      <c r="O8" s="274"/>
      <c r="P8" s="274"/>
      <c r="Q8" s="274"/>
    </row>
    <row r="9" spans="1:17" x14ac:dyDescent="0.25">
      <c r="A9" s="279"/>
      <c r="B9" s="359" t="s">
        <v>379</v>
      </c>
      <c r="C9" s="360" t="s">
        <v>385</v>
      </c>
      <c r="D9" s="274"/>
      <c r="E9" s="280" t="s">
        <v>20</v>
      </c>
      <c r="G9" s="272"/>
      <c r="H9" s="302" t="s">
        <v>405</v>
      </c>
      <c r="I9" s="303">
        <v>43831</v>
      </c>
      <c r="J9" s="279"/>
      <c r="K9" s="279"/>
      <c r="L9" s="279"/>
      <c r="M9" s="279"/>
      <c r="O9" s="274"/>
      <c r="P9" s="274"/>
      <c r="Q9" s="274"/>
    </row>
    <row r="10" spans="1:17" ht="16.5" thickBot="1" x14ac:dyDescent="0.3">
      <c r="B10" s="366"/>
      <c r="C10" s="274" t="s">
        <v>409</v>
      </c>
      <c r="D10" s="274" t="s">
        <v>378</v>
      </c>
      <c r="E10" s="367" t="s">
        <v>382</v>
      </c>
      <c r="F10" s="366" t="s">
        <v>383</v>
      </c>
      <c r="G10" s="366" t="s">
        <v>384</v>
      </c>
      <c r="H10" s="302" t="s">
        <v>406</v>
      </c>
      <c r="I10" s="303">
        <v>44196</v>
      </c>
      <c r="J10" s="279"/>
      <c r="K10" s="279"/>
      <c r="L10" s="279"/>
      <c r="M10" s="279"/>
      <c r="O10" s="274"/>
      <c r="P10" s="274"/>
      <c r="Q10" s="274"/>
    </row>
    <row r="11" spans="1:17" x14ac:dyDescent="0.25">
      <c r="A11" s="279">
        <v>1</v>
      </c>
      <c r="B11" s="333">
        <v>43831</v>
      </c>
      <c r="C11" s="328"/>
      <c r="D11" s="328"/>
      <c r="E11" s="345" t="s">
        <v>91</v>
      </c>
      <c r="F11" s="345" t="s">
        <v>7</v>
      </c>
      <c r="G11" s="352" t="s">
        <v>2</v>
      </c>
      <c r="H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2</v>
      </c>
      <c r="B12" s="335">
        <v>43832</v>
      </c>
      <c r="C12" s="343" t="s">
        <v>3</v>
      </c>
      <c r="D12" s="343" t="s">
        <v>90</v>
      </c>
      <c r="E12" s="313"/>
      <c r="F12" s="313"/>
      <c r="G12" s="319"/>
      <c r="H12"/>
      <c r="J12" s="279"/>
      <c r="L12" s="279"/>
      <c r="M12" s="279"/>
      <c r="O12" s="274"/>
      <c r="P12" s="274"/>
      <c r="Q12" s="274"/>
    </row>
    <row r="13" spans="1:17" ht="16.5" thickBot="1" x14ac:dyDescent="0.3">
      <c r="A13" s="279">
        <v>3</v>
      </c>
      <c r="B13" s="335">
        <v>43833</v>
      </c>
      <c r="C13" s="343" t="s">
        <v>3</v>
      </c>
      <c r="D13" s="343" t="s">
        <v>7</v>
      </c>
      <c r="E13" s="313"/>
      <c r="F13" s="313"/>
      <c r="G13" s="319"/>
      <c r="H13"/>
      <c r="J13" s="279"/>
      <c r="L13" s="279"/>
      <c r="M13" s="279"/>
    </row>
    <row r="14" spans="1:17" x14ac:dyDescent="0.25">
      <c r="A14" s="279">
        <v>4</v>
      </c>
      <c r="B14" s="336">
        <v>43834</v>
      </c>
      <c r="C14" s="296"/>
      <c r="D14" s="296"/>
      <c r="E14" s="346" t="s">
        <v>5</v>
      </c>
      <c r="F14" s="350" t="s">
        <v>2</v>
      </c>
      <c r="G14" s="353" t="s">
        <v>7</v>
      </c>
      <c r="H14"/>
      <c r="I14"/>
      <c r="K14" s="295">
        <v>43497</v>
      </c>
      <c r="L14" s="279"/>
      <c r="M14" s="279"/>
    </row>
    <row r="15" spans="1:17" ht="16.5" thickBot="1" x14ac:dyDescent="0.3">
      <c r="A15" s="279">
        <v>5</v>
      </c>
      <c r="B15" s="337">
        <v>43835</v>
      </c>
      <c r="C15" s="305"/>
      <c r="D15" s="305"/>
      <c r="E15" s="314"/>
      <c r="F15" s="316"/>
      <c r="G15" s="320"/>
      <c r="H15"/>
      <c r="I15"/>
      <c r="K15" s="295">
        <v>43622</v>
      </c>
      <c r="M15" s="279"/>
    </row>
    <row r="16" spans="1:17" x14ac:dyDescent="0.25">
      <c r="A16" s="279">
        <v>6</v>
      </c>
      <c r="B16" s="338">
        <v>43836</v>
      </c>
      <c r="C16" s="344" t="s">
        <v>147</v>
      </c>
      <c r="D16" s="344" t="s">
        <v>3</v>
      </c>
      <c r="E16" s="315"/>
      <c r="F16" s="315"/>
      <c r="G16" s="321"/>
      <c r="H16"/>
      <c r="J16" s="368">
        <v>43831</v>
      </c>
      <c r="L16" s="279"/>
      <c r="M16" s="279"/>
    </row>
    <row r="17" spans="1:13" x14ac:dyDescent="0.25">
      <c r="A17" s="279">
        <v>7</v>
      </c>
      <c r="B17" s="335">
        <v>43837</v>
      </c>
      <c r="C17" s="343" t="s">
        <v>147</v>
      </c>
      <c r="D17" s="343" t="s">
        <v>91</v>
      </c>
      <c r="E17" s="313"/>
      <c r="F17" s="313"/>
      <c r="G17" s="319"/>
      <c r="H17"/>
      <c r="J17" s="368">
        <v>43861</v>
      </c>
      <c r="K17" s="279"/>
      <c r="L17" s="279"/>
      <c r="M17" s="279"/>
    </row>
    <row r="18" spans="1:13" x14ac:dyDescent="0.25">
      <c r="A18" s="279">
        <v>8</v>
      </c>
      <c r="B18" s="335">
        <v>43838</v>
      </c>
      <c r="C18" s="343" t="s">
        <v>147</v>
      </c>
      <c r="D18" s="343" t="s">
        <v>4</v>
      </c>
      <c r="E18" s="313"/>
      <c r="F18" s="313"/>
      <c r="G18" s="319"/>
      <c r="H18"/>
      <c r="I18"/>
      <c r="J18" s="279"/>
      <c r="K18" s="279"/>
      <c r="L18" s="279"/>
      <c r="M18" s="279"/>
    </row>
    <row r="19" spans="1:13" x14ac:dyDescent="0.25">
      <c r="A19" s="279">
        <v>9</v>
      </c>
      <c r="B19" s="335">
        <v>43839</v>
      </c>
      <c r="C19" s="343" t="s">
        <v>147</v>
      </c>
      <c r="D19" s="343" t="s">
        <v>10</v>
      </c>
      <c r="E19" s="313"/>
      <c r="F19" s="313"/>
      <c r="G19" s="319"/>
      <c r="H19"/>
      <c r="I19"/>
      <c r="J19" s="279"/>
      <c r="K19" s="279"/>
      <c r="L19" s="279"/>
      <c r="M19" s="279"/>
    </row>
    <row r="20" spans="1:13" ht="16.5" thickBot="1" x14ac:dyDescent="0.3">
      <c r="A20" s="279">
        <v>10</v>
      </c>
      <c r="B20" s="335">
        <v>43840</v>
      </c>
      <c r="C20" s="343" t="s">
        <v>147</v>
      </c>
      <c r="D20" s="343" t="s">
        <v>90</v>
      </c>
      <c r="E20" s="313"/>
      <c r="F20" s="313"/>
      <c r="G20" s="319"/>
      <c r="H20"/>
      <c r="I20"/>
      <c r="J20" s="279"/>
      <c r="K20" s="279"/>
      <c r="L20" s="279"/>
      <c r="M20" s="279"/>
    </row>
    <row r="21" spans="1:13" x14ac:dyDescent="0.25">
      <c r="A21" s="279">
        <v>11</v>
      </c>
      <c r="B21" s="336">
        <v>43841</v>
      </c>
      <c r="C21" s="296"/>
      <c r="D21" s="296"/>
      <c r="E21" s="346" t="s">
        <v>90</v>
      </c>
      <c r="F21" s="350" t="s">
        <v>10</v>
      </c>
      <c r="G21" s="353" t="s">
        <v>6</v>
      </c>
      <c r="H21"/>
      <c r="I21"/>
      <c r="J21" s="279"/>
      <c r="K21" s="279"/>
      <c r="L21" s="279"/>
      <c r="M21" s="279"/>
    </row>
    <row r="22" spans="1:13" ht="16.5" thickBot="1" x14ac:dyDescent="0.3">
      <c r="A22" s="279">
        <v>12</v>
      </c>
      <c r="B22" s="337">
        <v>43842</v>
      </c>
      <c r="C22" s="305"/>
      <c r="D22" s="305"/>
      <c r="E22" s="314"/>
      <c r="F22" s="316"/>
      <c r="G22" s="320"/>
      <c r="H22"/>
      <c r="I22"/>
      <c r="J22" s="279"/>
      <c r="K22" s="279"/>
      <c r="L22" s="279"/>
      <c r="M22" s="279"/>
    </row>
    <row r="23" spans="1:13" x14ac:dyDescent="0.25">
      <c r="A23" s="279">
        <v>13</v>
      </c>
      <c r="B23" s="338">
        <v>43843</v>
      </c>
      <c r="C23" s="344" t="s">
        <v>8</v>
      </c>
      <c r="D23" s="344" t="s">
        <v>7</v>
      </c>
      <c r="E23" s="315"/>
      <c r="F23" s="315"/>
      <c r="G23" s="321"/>
      <c r="H23"/>
      <c r="I23"/>
      <c r="K23" s="279"/>
      <c r="L23" s="279"/>
      <c r="M23" s="279"/>
    </row>
    <row r="24" spans="1:13" x14ac:dyDescent="0.25">
      <c r="A24" s="279">
        <v>14</v>
      </c>
      <c r="B24" s="335">
        <v>43844</v>
      </c>
      <c r="C24" s="343" t="s">
        <v>8</v>
      </c>
      <c r="D24" s="343" t="s">
        <v>3</v>
      </c>
      <c r="E24" s="313"/>
      <c r="F24" s="313"/>
      <c r="G24" s="319"/>
      <c r="H24"/>
      <c r="I24"/>
      <c r="J24" s="279"/>
      <c r="K24" s="279"/>
      <c r="L24" s="279"/>
      <c r="M24" s="279"/>
    </row>
    <row r="25" spans="1:13" x14ac:dyDescent="0.25">
      <c r="A25" s="279">
        <v>15</v>
      </c>
      <c r="B25" s="335">
        <v>43845</v>
      </c>
      <c r="C25" s="343" t="s">
        <v>8</v>
      </c>
      <c r="D25" s="343" t="s">
        <v>147</v>
      </c>
      <c r="E25" s="313"/>
      <c r="F25" s="313"/>
      <c r="G25" s="319"/>
      <c r="H25"/>
      <c r="I25"/>
      <c r="J25" s="279"/>
      <c r="K25" s="279"/>
      <c r="L25" s="279"/>
      <c r="M25" s="279"/>
    </row>
    <row r="26" spans="1:13" x14ac:dyDescent="0.25">
      <c r="A26" s="279">
        <v>16</v>
      </c>
      <c r="B26" s="335">
        <v>43846</v>
      </c>
      <c r="C26" s="343" t="s">
        <v>8</v>
      </c>
      <c r="D26" s="343" t="s">
        <v>91</v>
      </c>
      <c r="E26" s="313"/>
      <c r="F26" s="313"/>
      <c r="G26" s="319"/>
      <c r="H26"/>
      <c r="I26"/>
      <c r="J26" s="279"/>
      <c r="K26" s="279"/>
      <c r="L26" s="279"/>
      <c r="M26" s="279"/>
    </row>
    <row r="27" spans="1:13" ht="16.5" thickBot="1" x14ac:dyDescent="0.3">
      <c r="A27" s="279">
        <v>17</v>
      </c>
      <c r="B27" s="335">
        <v>43847</v>
      </c>
      <c r="C27" s="343" t="s">
        <v>8</v>
      </c>
      <c r="D27" s="343" t="s">
        <v>5</v>
      </c>
      <c r="E27" s="313"/>
      <c r="F27" s="313"/>
      <c r="G27" s="319"/>
      <c r="H27"/>
      <c r="I27"/>
      <c r="J27" s="279"/>
      <c r="K27" s="279"/>
      <c r="L27" s="279"/>
      <c r="M27" s="279"/>
    </row>
    <row r="28" spans="1:13" x14ac:dyDescent="0.25">
      <c r="A28" s="279">
        <v>18</v>
      </c>
      <c r="B28" s="336">
        <v>43848</v>
      </c>
      <c r="C28" s="296"/>
      <c r="D28" s="296"/>
      <c r="E28" s="346" t="s">
        <v>91</v>
      </c>
      <c r="F28" s="350" t="s">
        <v>5</v>
      </c>
      <c r="G28" s="353" t="s">
        <v>8</v>
      </c>
      <c r="H28"/>
      <c r="I28"/>
      <c r="J28" s="279"/>
      <c r="K28" s="279"/>
      <c r="L28" s="279"/>
      <c r="M28" s="279"/>
    </row>
    <row r="29" spans="1:13" ht="16.5" thickBot="1" x14ac:dyDescent="0.3">
      <c r="A29" s="279">
        <v>19</v>
      </c>
      <c r="B29" s="337">
        <v>43849</v>
      </c>
      <c r="C29" s="305"/>
      <c r="D29" s="305"/>
      <c r="E29" s="314"/>
      <c r="F29" s="316"/>
      <c r="G29" s="320"/>
      <c r="H29"/>
      <c r="I29"/>
      <c r="J29" s="279"/>
      <c r="K29" s="279"/>
      <c r="L29" s="279"/>
      <c r="M29" s="279"/>
    </row>
    <row r="30" spans="1:13" x14ac:dyDescent="0.25">
      <c r="A30" s="279">
        <v>20</v>
      </c>
      <c r="B30" s="338">
        <v>43850</v>
      </c>
      <c r="C30" s="344" t="s">
        <v>90</v>
      </c>
      <c r="D30" s="344" t="s">
        <v>8</v>
      </c>
      <c r="E30" s="315"/>
      <c r="F30" s="315"/>
      <c r="G30" s="321"/>
      <c r="H30"/>
      <c r="I30"/>
      <c r="J30" s="279"/>
      <c r="K30" s="279"/>
      <c r="L30" s="279"/>
      <c r="M30" s="279"/>
    </row>
    <row r="31" spans="1:13" x14ac:dyDescent="0.25">
      <c r="A31" s="279">
        <v>21</v>
      </c>
      <c r="B31" s="335">
        <v>43851</v>
      </c>
      <c r="C31" s="343" t="s">
        <v>90</v>
      </c>
      <c r="D31" s="343" t="s">
        <v>4</v>
      </c>
      <c r="E31" s="313"/>
      <c r="F31" s="313"/>
      <c r="G31" s="319"/>
      <c r="H31"/>
      <c r="I31"/>
      <c r="J31" s="279"/>
      <c r="K31" s="279"/>
      <c r="L31" s="279"/>
      <c r="M31" s="279"/>
    </row>
    <row r="32" spans="1:13" x14ac:dyDescent="0.25">
      <c r="A32" s="279">
        <v>22</v>
      </c>
      <c r="B32" s="335">
        <v>43852</v>
      </c>
      <c r="C32" s="343" t="s">
        <v>90</v>
      </c>
      <c r="D32" s="343" t="s">
        <v>3</v>
      </c>
      <c r="E32" s="313"/>
      <c r="F32" s="313"/>
      <c r="G32" s="319"/>
      <c r="H32"/>
      <c r="I32"/>
      <c r="J32" s="279"/>
      <c r="K32" s="279"/>
      <c r="L32" s="279"/>
      <c r="M32" s="279"/>
    </row>
    <row r="33" spans="1:13" x14ac:dyDescent="0.25">
      <c r="A33" s="279">
        <v>23</v>
      </c>
      <c r="B33" s="335">
        <v>43853</v>
      </c>
      <c r="C33" s="343" t="s">
        <v>90</v>
      </c>
      <c r="D33" s="343" t="s">
        <v>7</v>
      </c>
      <c r="E33" s="313"/>
      <c r="F33" s="313"/>
      <c r="G33" s="319"/>
      <c r="H33"/>
      <c r="I33"/>
      <c r="J33" s="279"/>
      <c r="K33" s="279"/>
      <c r="L33" s="279"/>
      <c r="M33" s="279"/>
    </row>
    <row r="34" spans="1:13" ht="16.5" thickBot="1" x14ac:dyDescent="0.3">
      <c r="A34" s="279">
        <v>24</v>
      </c>
      <c r="B34" s="335">
        <v>43854</v>
      </c>
      <c r="C34" s="343" t="s">
        <v>90</v>
      </c>
      <c r="D34" s="343" t="s">
        <v>10</v>
      </c>
      <c r="E34" s="313"/>
      <c r="F34" s="313"/>
      <c r="G34" s="319"/>
      <c r="H34"/>
      <c r="I34"/>
      <c r="J34" s="279"/>
      <c r="K34" s="279"/>
      <c r="L34" s="279"/>
      <c r="M34" s="279"/>
    </row>
    <row r="35" spans="1:13" x14ac:dyDescent="0.25">
      <c r="A35" s="279">
        <v>25</v>
      </c>
      <c r="B35" s="336">
        <v>43855</v>
      </c>
      <c r="C35" s="296"/>
      <c r="D35" s="296"/>
      <c r="E35" s="346" t="s">
        <v>6</v>
      </c>
      <c r="F35" s="350" t="s">
        <v>91</v>
      </c>
      <c r="G35" s="353" t="s">
        <v>4</v>
      </c>
      <c r="H35"/>
      <c r="I35"/>
      <c r="J35" s="279"/>
      <c r="K35" s="279"/>
      <c r="L35" s="279"/>
      <c r="M35" s="279"/>
    </row>
    <row r="36" spans="1:13" ht="16.5" thickBot="1" x14ac:dyDescent="0.3">
      <c r="A36" s="279">
        <v>26</v>
      </c>
      <c r="B36" s="337">
        <v>43856</v>
      </c>
      <c r="C36" s="305"/>
      <c r="D36" s="305"/>
      <c r="E36" s="314"/>
      <c r="F36" s="316"/>
      <c r="G36" s="320"/>
      <c r="H36"/>
      <c r="I36"/>
      <c r="J36" s="279"/>
      <c r="K36" s="279"/>
      <c r="L36" s="279"/>
      <c r="M36" s="279"/>
    </row>
    <row r="37" spans="1:13" x14ac:dyDescent="0.25">
      <c r="A37" s="279">
        <v>27</v>
      </c>
      <c r="B37" s="338">
        <v>43857</v>
      </c>
      <c r="C37" s="344" t="s">
        <v>5</v>
      </c>
      <c r="D37" s="344" t="s">
        <v>90</v>
      </c>
      <c r="E37" s="315"/>
      <c r="F37" s="315"/>
      <c r="G37" s="321"/>
      <c r="H37"/>
      <c r="I37"/>
      <c r="J37" s="279"/>
      <c r="K37" s="279"/>
      <c r="L37" s="279"/>
      <c r="M37" s="279"/>
    </row>
    <row r="38" spans="1:13" x14ac:dyDescent="0.25">
      <c r="A38" s="279">
        <v>28</v>
      </c>
      <c r="B38" s="335">
        <v>43858</v>
      </c>
      <c r="C38" s="343" t="s">
        <v>5</v>
      </c>
      <c r="D38" s="343" t="s">
        <v>2</v>
      </c>
      <c r="E38" s="313"/>
      <c r="F38" s="313"/>
      <c r="G38" s="319"/>
      <c r="H38"/>
      <c r="I38"/>
      <c r="J38" s="279"/>
      <c r="K38" s="279"/>
      <c r="L38" s="279"/>
      <c r="M38" s="279"/>
    </row>
    <row r="39" spans="1:13" x14ac:dyDescent="0.25">
      <c r="A39" s="279">
        <v>29</v>
      </c>
      <c r="B39" s="335">
        <v>43859</v>
      </c>
      <c r="C39" s="343" t="s">
        <v>5</v>
      </c>
      <c r="D39" s="343" t="s">
        <v>91</v>
      </c>
      <c r="E39" s="313"/>
      <c r="F39" s="313"/>
      <c r="G39" s="319"/>
      <c r="H39"/>
      <c r="I39"/>
      <c r="J39" s="279"/>
      <c r="K39" s="279"/>
      <c r="L39" s="279"/>
      <c r="M39" s="279"/>
    </row>
    <row r="40" spans="1:13" x14ac:dyDescent="0.25">
      <c r="A40" s="279">
        <v>30</v>
      </c>
      <c r="B40" s="335">
        <v>43860</v>
      </c>
      <c r="C40" s="343" t="s">
        <v>5</v>
      </c>
      <c r="D40" s="343" t="s">
        <v>147</v>
      </c>
      <c r="E40" s="313"/>
      <c r="F40" s="313"/>
      <c r="G40" s="319"/>
      <c r="H40"/>
      <c r="I40"/>
      <c r="J40" s="279"/>
      <c r="K40" s="279"/>
      <c r="L40" s="279"/>
      <c r="M40" s="279"/>
    </row>
    <row r="41" spans="1:13" ht="16.5" thickBot="1" x14ac:dyDescent="0.3">
      <c r="A41" s="279">
        <v>31</v>
      </c>
      <c r="B41" s="335">
        <v>43861</v>
      </c>
      <c r="C41" s="343" t="s">
        <v>5</v>
      </c>
      <c r="D41" s="343" t="s">
        <v>6</v>
      </c>
      <c r="E41" s="313"/>
      <c r="F41" s="313"/>
      <c r="G41" s="319"/>
      <c r="H41"/>
      <c r="I41"/>
      <c r="J41" s="279"/>
      <c r="K41" s="279"/>
      <c r="L41" s="279"/>
      <c r="M41" s="279"/>
    </row>
    <row r="42" spans="1:13" x14ac:dyDescent="0.25">
      <c r="A42" s="279">
        <v>32</v>
      </c>
      <c r="B42" s="336">
        <v>43862</v>
      </c>
      <c r="C42" s="296"/>
      <c r="D42" s="296"/>
      <c r="E42" s="346" t="s">
        <v>2</v>
      </c>
      <c r="F42" s="350" t="s">
        <v>6</v>
      </c>
      <c r="G42" s="353" t="s">
        <v>91</v>
      </c>
      <c r="H42"/>
      <c r="I42"/>
      <c r="J42" s="279"/>
      <c r="K42" s="279"/>
      <c r="L42" s="279"/>
      <c r="M42" s="279"/>
    </row>
    <row r="43" spans="1:13" ht="16.5" thickBot="1" x14ac:dyDescent="0.3">
      <c r="A43" s="279">
        <v>33</v>
      </c>
      <c r="B43" s="337">
        <v>43863</v>
      </c>
      <c r="C43" s="305"/>
      <c r="D43" s="305"/>
      <c r="E43" s="314"/>
      <c r="F43" s="316"/>
      <c r="G43" s="320"/>
      <c r="H43"/>
      <c r="I43"/>
      <c r="J43" s="279"/>
      <c r="K43" s="279"/>
      <c r="L43" s="279"/>
      <c r="M43" s="279"/>
    </row>
    <row r="44" spans="1:13" x14ac:dyDescent="0.25">
      <c r="A44" s="279">
        <v>34</v>
      </c>
      <c r="B44" s="338">
        <v>43864</v>
      </c>
      <c r="C44" s="344" t="s">
        <v>7</v>
      </c>
      <c r="D44" s="344" t="s">
        <v>5</v>
      </c>
      <c r="E44" s="315"/>
      <c r="F44" s="315"/>
      <c r="G44" s="321"/>
      <c r="H44"/>
      <c r="I44"/>
      <c r="J44" s="279"/>
      <c r="K44" s="279"/>
      <c r="L44" s="279"/>
      <c r="M44" s="279"/>
    </row>
    <row r="45" spans="1:13" x14ac:dyDescent="0.25">
      <c r="A45" s="279">
        <v>35</v>
      </c>
      <c r="B45" s="335">
        <v>43865</v>
      </c>
      <c r="C45" s="343" t="s">
        <v>7</v>
      </c>
      <c r="D45" s="343" t="s">
        <v>8</v>
      </c>
      <c r="E45" s="313"/>
      <c r="F45" s="313"/>
      <c r="G45" s="319"/>
      <c r="H45"/>
      <c r="I45"/>
      <c r="J45" s="279"/>
      <c r="K45" s="279"/>
      <c r="L45" s="279"/>
      <c r="M45" s="279"/>
    </row>
    <row r="46" spans="1:13" x14ac:dyDescent="0.25">
      <c r="A46" s="279">
        <v>36</v>
      </c>
      <c r="B46" s="335">
        <v>43866</v>
      </c>
      <c r="C46" s="343" t="s">
        <v>7</v>
      </c>
      <c r="D46" s="343" t="s">
        <v>4</v>
      </c>
      <c r="E46" s="313"/>
      <c r="F46" s="313"/>
      <c r="G46" s="319"/>
      <c r="H46"/>
      <c r="I46"/>
      <c r="J46" s="279"/>
      <c r="K46" s="279"/>
      <c r="L46" s="279"/>
      <c r="M46" s="279"/>
    </row>
    <row r="47" spans="1:13" x14ac:dyDescent="0.25">
      <c r="A47" s="279">
        <v>37</v>
      </c>
      <c r="B47" s="335">
        <v>43867</v>
      </c>
      <c r="C47" s="343" t="s">
        <v>7</v>
      </c>
      <c r="D47" s="343" t="s">
        <v>3</v>
      </c>
      <c r="E47" s="313"/>
      <c r="F47" s="313"/>
      <c r="G47" s="319"/>
      <c r="H47"/>
      <c r="I47"/>
      <c r="J47" s="279"/>
      <c r="K47" s="279"/>
      <c r="L47" s="279"/>
      <c r="M47" s="279"/>
    </row>
    <row r="48" spans="1:13" ht="16.5" thickBot="1" x14ac:dyDescent="0.3">
      <c r="A48" s="279">
        <v>38</v>
      </c>
      <c r="B48" s="335">
        <v>43868</v>
      </c>
      <c r="C48" s="343" t="s">
        <v>7</v>
      </c>
      <c r="D48" s="343" t="s">
        <v>2</v>
      </c>
      <c r="E48" s="313"/>
      <c r="F48" s="313"/>
      <c r="G48" s="319"/>
      <c r="H48"/>
      <c r="I48"/>
      <c r="J48" s="279"/>
      <c r="K48" s="279"/>
      <c r="L48" s="279"/>
      <c r="M48" s="279"/>
    </row>
    <row r="49" spans="1:13" x14ac:dyDescent="0.25">
      <c r="A49" s="279">
        <v>39</v>
      </c>
      <c r="B49" s="336">
        <v>43869</v>
      </c>
      <c r="C49" s="296"/>
      <c r="D49" s="296"/>
      <c r="E49" s="346" t="s">
        <v>90</v>
      </c>
      <c r="F49" s="350" t="s">
        <v>3</v>
      </c>
      <c r="G49" s="353" t="s">
        <v>147</v>
      </c>
      <c r="H49"/>
      <c r="I49"/>
      <c r="J49" s="279"/>
      <c r="K49" s="279"/>
      <c r="L49" s="279"/>
      <c r="M49" s="279"/>
    </row>
    <row r="50" spans="1:13" ht="16.5" thickBot="1" x14ac:dyDescent="0.3">
      <c r="A50" s="279">
        <v>40</v>
      </c>
      <c r="B50" s="337">
        <v>43870</v>
      </c>
      <c r="C50" s="305"/>
      <c r="D50" s="305"/>
      <c r="E50" s="314"/>
      <c r="F50" s="316"/>
      <c r="G50" s="320"/>
      <c r="H50"/>
      <c r="I50"/>
      <c r="J50" s="279"/>
      <c r="K50" s="279"/>
      <c r="L50" s="279"/>
      <c r="M50" s="279"/>
    </row>
    <row r="51" spans="1:13" x14ac:dyDescent="0.25">
      <c r="A51" s="279">
        <v>41</v>
      </c>
      <c r="B51" s="338">
        <v>43871</v>
      </c>
      <c r="C51" s="344" t="s">
        <v>6</v>
      </c>
      <c r="D51" s="344" t="s">
        <v>147</v>
      </c>
      <c r="E51" s="315"/>
      <c r="F51" s="315"/>
      <c r="G51" s="321"/>
      <c r="H51"/>
      <c r="I51"/>
      <c r="J51" s="279"/>
      <c r="K51" s="279"/>
      <c r="L51" s="279"/>
      <c r="M51" s="279"/>
    </row>
    <row r="52" spans="1:13" x14ac:dyDescent="0.25">
      <c r="A52" s="279">
        <v>42</v>
      </c>
      <c r="B52" s="335">
        <v>43872</v>
      </c>
      <c r="C52" s="343" t="s">
        <v>6</v>
      </c>
      <c r="D52" s="343" t="s">
        <v>10</v>
      </c>
      <c r="E52" s="313"/>
      <c r="F52" s="313"/>
      <c r="G52" s="319"/>
      <c r="H52"/>
      <c r="I52"/>
      <c r="J52" s="279"/>
      <c r="K52" s="279"/>
      <c r="L52" s="279"/>
      <c r="M52" s="279"/>
    </row>
    <row r="53" spans="1:13" x14ac:dyDescent="0.25">
      <c r="A53" s="279">
        <v>43</v>
      </c>
      <c r="B53" s="335">
        <v>43873</v>
      </c>
      <c r="C53" s="343" t="s">
        <v>6</v>
      </c>
      <c r="D53" s="343" t="s">
        <v>90</v>
      </c>
      <c r="E53" s="313"/>
      <c r="F53" s="313"/>
      <c r="G53" s="319"/>
      <c r="H53"/>
      <c r="I53"/>
      <c r="J53" s="279"/>
      <c r="K53" s="279"/>
      <c r="L53" s="279"/>
      <c r="M53" s="279"/>
    </row>
    <row r="54" spans="1:13" x14ac:dyDescent="0.25">
      <c r="A54" s="279">
        <v>44</v>
      </c>
      <c r="B54" s="335">
        <v>43874</v>
      </c>
      <c r="C54" s="343" t="s">
        <v>6</v>
      </c>
      <c r="D54" s="343" t="s">
        <v>91</v>
      </c>
      <c r="E54" s="313"/>
      <c r="F54" s="313"/>
      <c r="G54" s="319"/>
      <c r="H54"/>
      <c r="I54"/>
      <c r="J54" s="279"/>
      <c r="K54" s="279"/>
      <c r="L54" s="279"/>
      <c r="M54" s="279"/>
    </row>
    <row r="55" spans="1:13" ht="16.5" thickBot="1" x14ac:dyDescent="0.3">
      <c r="A55" s="279">
        <v>45</v>
      </c>
      <c r="B55" s="335">
        <v>43875</v>
      </c>
      <c r="C55" s="343" t="s">
        <v>6</v>
      </c>
      <c r="D55" s="343" t="s">
        <v>7</v>
      </c>
      <c r="E55" s="313"/>
      <c r="F55" s="313"/>
      <c r="G55" s="319"/>
      <c r="H55"/>
      <c r="I55"/>
      <c r="J55" s="279"/>
      <c r="K55" s="279"/>
      <c r="L55" s="279"/>
      <c r="M55" s="279"/>
    </row>
    <row r="56" spans="1:13" x14ac:dyDescent="0.25">
      <c r="A56" s="279">
        <v>46</v>
      </c>
      <c r="B56" s="336">
        <v>43876</v>
      </c>
      <c r="C56" s="296"/>
      <c r="D56" s="296"/>
      <c r="E56" s="346" t="s">
        <v>4</v>
      </c>
      <c r="F56" s="350" t="s">
        <v>147</v>
      </c>
      <c r="G56" s="353" t="s">
        <v>3</v>
      </c>
      <c r="H56"/>
      <c r="I56"/>
      <c r="J56" s="279"/>
      <c r="K56" s="279"/>
      <c r="L56" s="279"/>
      <c r="M56" s="279"/>
    </row>
    <row r="57" spans="1:13" ht="16.5" thickBot="1" x14ac:dyDescent="0.3">
      <c r="A57" s="279">
        <v>47</v>
      </c>
      <c r="B57" s="337">
        <v>43877</v>
      </c>
      <c r="C57" s="305"/>
      <c r="D57" s="305"/>
      <c r="E57" s="314"/>
      <c r="F57" s="316"/>
      <c r="G57" s="320"/>
      <c r="H57"/>
      <c r="I57"/>
      <c r="J57" s="279"/>
      <c r="K57" s="279"/>
      <c r="L57" s="279"/>
      <c r="M57" s="279"/>
    </row>
    <row r="58" spans="1:13" x14ac:dyDescent="0.25">
      <c r="A58" s="279">
        <v>48</v>
      </c>
      <c r="B58" s="338">
        <v>43878</v>
      </c>
      <c r="C58" s="344" t="s">
        <v>91</v>
      </c>
      <c r="D58" s="344" t="s">
        <v>6</v>
      </c>
      <c r="E58" s="315"/>
      <c r="F58" s="315"/>
      <c r="G58" s="321"/>
      <c r="H58"/>
      <c r="I58"/>
      <c r="J58" s="279"/>
      <c r="K58" s="279"/>
      <c r="L58" s="279"/>
      <c r="M58" s="279"/>
    </row>
    <row r="59" spans="1:13" x14ac:dyDescent="0.25">
      <c r="A59" s="279">
        <v>49</v>
      </c>
      <c r="B59" s="335">
        <v>43879</v>
      </c>
      <c r="C59" s="343" t="s">
        <v>91</v>
      </c>
      <c r="D59" s="343" t="s">
        <v>5</v>
      </c>
      <c r="E59" s="313"/>
      <c r="F59" s="313"/>
      <c r="G59" s="319"/>
      <c r="H59"/>
      <c r="I59"/>
      <c r="J59" s="279"/>
      <c r="K59" s="279"/>
      <c r="L59" s="279"/>
      <c r="M59" s="279"/>
    </row>
    <row r="60" spans="1:13" x14ac:dyDescent="0.25">
      <c r="A60" s="279">
        <v>50</v>
      </c>
      <c r="B60" s="335">
        <v>43880</v>
      </c>
      <c r="C60" s="343" t="s">
        <v>91</v>
      </c>
      <c r="D60" s="343" t="s">
        <v>8</v>
      </c>
      <c r="E60" s="313"/>
      <c r="F60" s="313"/>
      <c r="G60" s="319"/>
      <c r="H60"/>
      <c r="I60"/>
      <c r="J60" s="279"/>
      <c r="K60" s="279"/>
      <c r="L60" s="279"/>
      <c r="M60" s="279"/>
    </row>
    <row r="61" spans="1:13" x14ac:dyDescent="0.25">
      <c r="A61" s="279">
        <v>51</v>
      </c>
      <c r="B61" s="335">
        <v>43881</v>
      </c>
      <c r="C61" s="343" t="s">
        <v>91</v>
      </c>
      <c r="D61" s="343" t="s">
        <v>4</v>
      </c>
      <c r="E61" s="313"/>
      <c r="F61" s="313"/>
      <c r="G61" s="319"/>
      <c r="H61"/>
      <c r="I61"/>
      <c r="J61" s="279"/>
      <c r="K61" s="279"/>
      <c r="L61" s="279"/>
      <c r="M61" s="279"/>
    </row>
    <row r="62" spans="1:13" ht="16.5" thickBot="1" x14ac:dyDescent="0.3">
      <c r="A62" s="279">
        <v>52</v>
      </c>
      <c r="B62" s="335">
        <v>43882</v>
      </c>
      <c r="C62" s="343" t="s">
        <v>91</v>
      </c>
      <c r="D62" s="343" t="s">
        <v>3</v>
      </c>
      <c r="E62" s="313"/>
      <c r="F62" s="313"/>
      <c r="G62" s="319"/>
      <c r="H62"/>
      <c r="I62"/>
      <c r="J62" s="279"/>
      <c r="K62" s="279"/>
      <c r="L62" s="279"/>
      <c r="M62" s="279"/>
    </row>
    <row r="63" spans="1:13" x14ac:dyDescent="0.25">
      <c r="A63" s="279">
        <v>53</v>
      </c>
      <c r="B63" s="336">
        <v>43883</v>
      </c>
      <c r="C63" s="296"/>
      <c r="D63" s="296"/>
      <c r="E63" s="346" t="s">
        <v>10</v>
      </c>
      <c r="F63" s="350" t="s">
        <v>90</v>
      </c>
      <c r="G63" s="353" t="s">
        <v>5</v>
      </c>
      <c r="H63"/>
      <c r="I63"/>
      <c r="J63" s="279"/>
      <c r="K63" s="279"/>
      <c r="L63" s="279"/>
      <c r="M63" s="279"/>
    </row>
    <row r="64" spans="1:13" ht="16.5" thickBot="1" x14ac:dyDescent="0.3">
      <c r="A64" s="279">
        <v>54</v>
      </c>
      <c r="B64" s="337">
        <v>43884</v>
      </c>
      <c r="C64" s="305"/>
      <c r="D64" s="305"/>
      <c r="E64" s="314"/>
      <c r="F64" s="316"/>
      <c r="G64" s="320"/>
      <c r="H64"/>
      <c r="I64"/>
      <c r="J64" s="279"/>
      <c r="K64" s="279"/>
      <c r="L64" s="279"/>
      <c r="M64" s="279"/>
    </row>
    <row r="65" spans="1:13" x14ac:dyDescent="0.25">
      <c r="A65" s="279">
        <v>55</v>
      </c>
      <c r="B65" s="338">
        <v>43885</v>
      </c>
      <c r="C65" s="344" t="s">
        <v>4</v>
      </c>
      <c r="D65" s="344" t="s">
        <v>2</v>
      </c>
      <c r="E65" s="315"/>
      <c r="F65" s="315"/>
      <c r="G65" s="321"/>
      <c r="H65"/>
      <c r="I65"/>
      <c r="J65" s="279"/>
      <c r="K65" s="279"/>
      <c r="L65" s="279"/>
      <c r="M65" s="279"/>
    </row>
    <row r="66" spans="1:13" x14ac:dyDescent="0.25">
      <c r="A66" s="279">
        <v>56</v>
      </c>
      <c r="B66" s="335">
        <v>43886</v>
      </c>
      <c r="C66" s="343" t="s">
        <v>4</v>
      </c>
      <c r="D66" s="343" t="s">
        <v>147</v>
      </c>
      <c r="E66" s="313"/>
      <c r="F66" s="313"/>
      <c r="G66" s="319"/>
      <c r="H66"/>
      <c r="I66"/>
      <c r="J66" s="279"/>
      <c r="K66" s="279"/>
      <c r="L66" s="279"/>
      <c r="M66" s="279"/>
    </row>
    <row r="67" spans="1:13" x14ac:dyDescent="0.25">
      <c r="A67" s="279">
        <v>57</v>
      </c>
      <c r="B67" s="335">
        <v>43887</v>
      </c>
      <c r="C67" s="343" t="s">
        <v>4</v>
      </c>
      <c r="D67" s="343" t="s">
        <v>10</v>
      </c>
      <c r="E67" s="313"/>
      <c r="F67" s="313"/>
      <c r="G67" s="319"/>
      <c r="H67"/>
      <c r="I67"/>
      <c r="J67" s="279"/>
      <c r="K67" s="279"/>
      <c r="L67" s="279"/>
      <c r="M67" s="279"/>
    </row>
    <row r="68" spans="1:13" x14ac:dyDescent="0.25">
      <c r="A68" s="279">
        <v>58</v>
      </c>
      <c r="B68" s="335">
        <v>43888</v>
      </c>
      <c r="C68" s="343" t="s">
        <v>4</v>
      </c>
      <c r="D68" s="343" t="s">
        <v>90</v>
      </c>
      <c r="E68" s="313"/>
      <c r="F68" s="313"/>
      <c r="G68" s="319"/>
      <c r="H68"/>
      <c r="I68"/>
      <c r="J68" s="279"/>
      <c r="K68" s="279"/>
      <c r="L68" s="279"/>
      <c r="M68" s="279"/>
    </row>
    <row r="69" spans="1:13" ht="16.5" thickBot="1" x14ac:dyDescent="0.3">
      <c r="A69" s="279">
        <v>59</v>
      </c>
      <c r="B69" s="335">
        <v>43889</v>
      </c>
      <c r="C69" s="343" t="s">
        <v>4</v>
      </c>
      <c r="D69" s="343" t="s">
        <v>91</v>
      </c>
      <c r="E69" s="313"/>
      <c r="F69" s="313"/>
      <c r="G69" s="319"/>
      <c r="H69"/>
      <c r="I69"/>
      <c r="J69" s="279"/>
      <c r="K69" s="279"/>
      <c r="L69" s="279"/>
      <c r="M69" s="279"/>
    </row>
    <row r="70" spans="1:13" x14ac:dyDescent="0.25">
      <c r="A70" s="279">
        <v>60</v>
      </c>
      <c r="B70" s="336">
        <v>43890</v>
      </c>
      <c r="C70" s="296"/>
      <c r="D70" s="296"/>
      <c r="E70" s="346" t="s">
        <v>147</v>
      </c>
      <c r="F70" s="350" t="s">
        <v>3</v>
      </c>
      <c r="G70" s="353" t="s">
        <v>90</v>
      </c>
      <c r="H70"/>
      <c r="I70"/>
      <c r="J70" s="279"/>
      <c r="K70" s="279"/>
      <c r="L70" s="279"/>
      <c r="M70" s="279"/>
    </row>
    <row r="71" spans="1:13" ht="16.5" thickBot="1" x14ac:dyDescent="0.3">
      <c r="A71" s="279">
        <v>61</v>
      </c>
      <c r="B71" s="337">
        <v>43891</v>
      </c>
      <c r="C71" s="305"/>
      <c r="D71" s="305"/>
      <c r="E71" s="314"/>
      <c r="F71" s="316"/>
      <c r="G71" s="320"/>
      <c r="H71"/>
      <c r="I71"/>
      <c r="J71" s="279"/>
      <c r="K71" s="279"/>
      <c r="L71" s="279"/>
      <c r="M71" s="279"/>
    </row>
    <row r="72" spans="1:13" x14ac:dyDescent="0.25">
      <c r="A72" s="279">
        <v>62</v>
      </c>
      <c r="B72" s="338">
        <v>43892</v>
      </c>
      <c r="C72" s="344" t="s">
        <v>2</v>
      </c>
      <c r="D72" s="344" t="s">
        <v>7</v>
      </c>
      <c r="E72" s="315"/>
      <c r="F72" s="315"/>
      <c r="G72" s="321"/>
      <c r="H72"/>
      <c r="I72"/>
      <c r="J72" s="279"/>
      <c r="K72" s="279"/>
      <c r="L72" s="279"/>
      <c r="M72" s="279"/>
    </row>
    <row r="73" spans="1:13" x14ac:dyDescent="0.25">
      <c r="A73" s="279">
        <v>63</v>
      </c>
      <c r="B73" s="335">
        <v>43893</v>
      </c>
      <c r="C73" s="343" t="s">
        <v>2</v>
      </c>
      <c r="D73" s="343" t="s">
        <v>6</v>
      </c>
      <c r="E73" s="313"/>
      <c r="F73" s="313"/>
      <c r="G73" s="319"/>
      <c r="H73"/>
      <c r="I73"/>
      <c r="J73" s="279"/>
      <c r="K73" s="279"/>
      <c r="L73" s="279"/>
      <c r="M73" s="279"/>
    </row>
    <row r="74" spans="1:13" x14ac:dyDescent="0.25">
      <c r="A74" s="279">
        <v>64</v>
      </c>
      <c r="B74" s="335">
        <v>43894</v>
      </c>
      <c r="C74" s="343" t="s">
        <v>2</v>
      </c>
      <c r="D74" s="343" t="s">
        <v>5</v>
      </c>
      <c r="E74" s="313"/>
      <c r="F74" s="313"/>
      <c r="G74" s="319"/>
      <c r="H74"/>
      <c r="I74"/>
      <c r="J74" s="279"/>
      <c r="K74" s="279"/>
      <c r="L74" s="279"/>
      <c r="M74" s="279"/>
    </row>
    <row r="75" spans="1:13" x14ac:dyDescent="0.25">
      <c r="A75" s="279">
        <v>65</v>
      </c>
      <c r="B75" s="335">
        <v>43895</v>
      </c>
      <c r="C75" s="343" t="s">
        <v>2</v>
      </c>
      <c r="D75" s="343" t="s">
        <v>8</v>
      </c>
      <c r="E75" s="313"/>
      <c r="F75" s="313"/>
      <c r="G75" s="319"/>
      <c r="H75"/>
      <c r="I75"/>
      <c r="J75" s="279"/>
      <c r="K75" s="279"/>
      <c r="L75" s="279"/>
      <c r="M75" s="279"/>
    </row>
    <row r="76" spans="1:13" ht="16.5" thickBot="1" x14ac:dyDescent="0.3">
      <c r="A76" s="279">
        <v>66</v>
      </c>
      <c r="B76" s="335">
        <v>43896</v>
      </c>
      <c r="C76" s="343" t="s">
        <v>2</v>
      </c>
      <c r="D76" s="343" t="s">
        <v>4</v>
      </c>
      <c r="E76" s="313"/>
      <c r="F76" s="313"/>
      <c r="G76" s="319"/>
      <c r="H76"/>
      <c r="I76"/>
      <c r="J76" s="279"/>
      <c r="K76" s="279"/>
      <c r="L76" s="279"/>
      <c r="M76" s="279"/>
    </row>
    <row r="77" spans="1:13" x14ac:dyDescent="0.25">
      <c r="A77" s="279">
        <v>67</v>
      </c>
      <c r="B77" s="336">
        <v>43897</v>
      </c>
      <c r="C77" s="296"/>
      <c r="D77" s="296"/>
      <c r="E77" s="346" t="s">
        <v>7</v>
      </c>
      <c r="F77" s="350" t="s">
        <v>147</v>
      </c>
      <c r="G77" s="353" t="s">
        <v>90</v>
      </c>
      <c r="H77"/>
      <c r="I77"/>
      <c r="J77" s="279"/>
      <c r="K77" s="279"/>
      <c r="L77" s="279"/>
      <c r="M77" s="279"/>
    </row>
    <row r="78" spans="1:13" ht="16.5" thickBot="1" x14ac:dyDescent="0.3">
      <c r="A78" s="279">
        <v>68</v>
      </c>
      <c r="B78" s="337">
        <v>43898</v>
      </c>
      <c r="C78" s="305"/>
      <c r="D78" s="305"/>
      <c r="E78" s="314"/>
      <c r="F78" s="316"/>
      <c r="G78" s="320"/>
      <c r="H78"/>
      <c r="I78"/>
      <c r="J78" s="279"/>
      <c r="K78" s="279"/>
      <c r="L78" s="279"/>
      <c r="M78" s="279"/>
    </row>
    <row r="79" spans="1:13" x14ac:dyDescent="0.25">
      <c r="A79" s="279">
        <v>69</v>
      </c>
      <c r="B79" s="338">
        <v>43899</v>
      </c>
      <c r="C79" s="344" t="s">
        <v>10</v>
      </c>
      <c r="D79" s="344" t="s">
        <v>3</v>
      </c>
      <c r="E79" s="315"/>
      <c r="F79" s="315"/>
      <c r="G79" s="321"/>
      <c r="H79"/>
      <c r="I79"/>
      <c r="J79" s="279"/>
      <c r="K79" s="279"/>
      <c r="L79" s="279"/>
      <c r="M79" s="279"/>
    </row>
    <row r="80" spans="1:13" x14ac:dyDescent="0.25">
      <c r="A80" s="279">
        <v>70</v>
      </c>
      <c r="B80" s="335">
        <v>43900</v>
      </c>
      <c r="C80" s="343" t="s">
        <v>10</v>
      </c>
      <c r="D80" s="343" t="s">
        <v>2</v>
      </c>
      <c r="E80" s="313"/>
      <c r="F80" s="313"/>
      <c r="G80" s="319"/>
      <c r="H80"/>
      <c r="I80"/>
      <c r="J80" s="279"/>
      <c r="K80" s="279"/>
      <c r="L80" s="279"/>
      <c r="M80" s="279"/>
    </row>
    <row r="81" spans="1:13" x14ac:dyDescent="0.25">
      <c r="A81" s="279">
        <v>71</v>
      </c>
      <c r="B81" s="335">
        <v>43901</v>
      </c>
      <c r="C81" s="343" t="s">
        <v>10</v>
      </c>
      <c r="D81" s="343" t="s">
        <v>147</v>
      </c>
      <c r="E81" s="313"/>
      <c r="F81" s="313"/>
      <c r="G81" s="319"/>
      <c r="H81"/>
      <c r="I81"/>
      <c r="J81" s="279"/>
      <c r="K81" s="279"/>
      <c r="L81" s="279"/>
      <c r="M81" s="279"/>
    </row>
    <row r="82" spans="1:13" x14ac:dyDescent="0.25">
      <c r="A82" s="279">
        <v>72</v>
      </c>
      <c r="B82" s="335">
        <v>43902</v>
      </c>
      <c r="C82" s="343" t="s">
        <v>10</v>
      </c>
      <c r="D82" s="343" t="s">
        <v>91</v>
      </c>
      <c r="E82" s="313"/>
      <c r="F82" s="313"/>
      <c r="G82" s="319"/>
      <c r="H82"/>
      <c r="I82"/>
      <c r="J82" s="279"/>
      <c r="K82" s="279"/>
      <c r="L82" s="279"/>
      <c r="M82" s="279"/>
    </row>
    <row r="83" spans="1:13" ht="16.5" thickBot="1" x14ac:dyDescent="0.3">
      <c r="A83" s="279">
        <v>73</v>
      </c>
      <c r="B83" s="335">
        <v>43903</v>
      </c>
      <c r="C83" s="343" t="s">
        <v>10</v>
      </c>
      <c r="D83" s="343" t="s">
        <v>6</v>
      </c>
      <c r="E83" s="313"/>
      <c r="F83" s="313"/>
      <c r="G83" s="319"/>
      <c r="H83"/>
      <c r="I83"/>
      <c r="J83" s="279"/>
      <c r="K83" s="279"/>
      <c r="L83" s="279"/>
      <c r="M83" s="279"/>
    </row>
    <row r="84" spans="1:13" x14ac:dyDescent="0.25">
      <c r="A84" s="279">
        <v>74</v>
      </c>
      <c r="B84" s="336">
        <v>43904</v>
      </c>
      <c r="C84" s="296"/>
      <c r="D84" s="296"/>
      <c r="E84" s="346" t="s">
        <v>8</v>
      </c>
      <c r="F84" s="350" t="s">
        <v>91</v>
      </c>
      <c r="G84" s="353" t="s">
        <v>2</v>
      </c>
      <c r="H84"/>
      <c r="I84"/>
      <c r="J84" s="279"/>
      <c r="K84" s="279"/>
      <c r="L84" s="279"/>
      <c r="M84" s="279"/>
    </row>
    <row r="85" spans="1:13" ht="16.5" thickBot="1" x14ac:dyDescent="0.3">
      <c r="A85" s="279">
        <v>75</v>
      </c>
      <c r="B85" s="337">
        <v>43905</v>
      </c>
      <c r="C85" s="305"/>
      <c r="D85" s="305"/>
      <c r="E85" s="314"/>
      <c r="F85" s="316"/>
      <c r="G85" s="320"/>
      <c r="H85"/>
      <c r="I85"/>
      <c r="J85" s="279"/>
      <c r="K85" s="279"/>
      <c r="L85" s="279"/>
      <c r="M85" s="279"/>
    </row>
    <row r="86" spans="1:13" x14ac:dyDescent="0.25">
      <c r="A86" s="279">
        <v>76</v>
      </c>
      <c r="B86" s="338">
        <v>43906</v>
      </c>
      <c r="C86" s="344" t="s">
        <v>3</v>
      </c>
      <c r="D86" s="344" t="s">
        <v>10</v>
      </c>
      <c r="E86" s="315"/>
      <c r="F86" s="315"/>
      <c r="G86" s="321"/>
      <c r="H86"/>
      <c r="I86"/>
      <c r="J86" s="279"/>
      <c r="K86" s="279"/>
      <c r="L86" s="279"/>
      <c r="M86" s="279"/>
    </row>
    <row r="87" spans="1:13" x14ac:dyDescent="0.25">
      <c r="A87" s="279">
        <v>77</v>
      </c>
      <c r="B87" s="335">
        <v>43907</v>
      </c>
      <c r="C87" s="343" t="s">
        <v>3</v>
      </c>
      <c r="D87" s="343" t="s">
        <v>90</v>
      </c>
      <c r="E87" s="313"/>
      <c r="F87" s="313"/>
      <c r="G87" s="319"/>
      <c r="H87"/>
      <c r="I87"/>
      <c r="J87" s="279"/>
      <c r="K87" s="279"/>
      <c r="L87" s="279"/>
      <c r="M87" s="279"/>
    </row>
    <row r="88" spans="1:13" x14ac:dyDescent="0.25">
      <c r="A88" s="279">
        <v>78</v>
      </c>
      <c r="B88" s="335">
        <v>43908</v>
      </c>
      <c r="C88" s="343" t="s">
        <v>3</v>
      </c>
      <c r="D88" s="343" t="s">
        <v>7</v>
      </c>
      <c r="E88" s="313"/>
      <c r="F88" s="313"/>
      <c r="G88" s="319"/>
      <c r="H88"/>
      <c r="I88"/>
      <c r="J88" s="279"/>
      <c r="K88" s="279"/>
      <c r="L88" s="279"/>
      <c r="M88" s="279"/>
    </row>
    <row r="89" spans="1:13" x14ac:dyDescent="0.25">
      <c r="A89" s="279">
        <v>79</v>
      </c>
      <c r="B89" s="335">
        <v>43909</v>
      </c>
      <c r="C89" s="343" t="s">
        <v>3</v>
      </c>
      <c r="D89" s="343" t="s">
        <v>5</v>
      </c>
      <c r="E89" s="313"/>
      <c r="F89" s="313"/>
      <c r="G89" s="319"/>
      <c r="H89"/>
      <c r="I89"/>
      <c r="J89" s="279"/>
      <c r="K89" s="279"/>
      <c r="L89" s="279"/>
      <c r="M89" s="279"/>
    </row>
    <row r="90" spans="1:13" ht="16.5" thickBot="1" x14ac:dyDescent="0.3">
      <c r="A90" s="279">
        <v>80</v>
      </c>
      <c r="B90" s="335">
        <v>43910</v>
      </c>
      <c r="C90" s="343" t="s">
        <v>3</v>
      </c>
      <c r="D90" s="343" t="s">
        <v>8</v>
      </c>
      <c r="E90" s="313"/>
      <c r="F90" s="313"/>
      <c r="G90" s="319"/>
      <c r="H90"/>
      <c r="I90"/>
      <c r="J90" s="279"/>
      <c r="K90" s="279"/>
      <c r="L90" s="279"/>
      <c r="M90" s="279"/>
    </row>
    <row r="91" spans="1:13" x14ac:dyDescent="0.25">
      <c r="A91" s="279">
        <v>81</v>
      </c>
      <c r="B91" s="336">
        <v>43911</v>
      </c>
      <c r="C91" s="296"/>
      <c r="D91" s="296"/>
      <c r="E91" s="346" t="s">
        <v>3</v>
      </c>
      <c r="F91" s="350" t="s">
        <v>6</v>
      </c>
      <c r="G91" s="353" t="s">
        <v>5</v>
      </c>
      <c r="H91"/>
      <c r="I91"/>
      <c r="J91" s="279"/>
      <c r="K91" s="279"/>
      <c r="L91" s="279"/>
      <c r="M91" s="279"/>
    </row>
    <row r="92" spans="1:13" ht="16.5" thickBot="1" x14ac:dyDescent="0.3">
      <c r="A92" s="279">
        <v>82</v>
      </c>
      <c r="B92" s="337">
        <v>43912</v>
      </c>
      <c r="C92" s="305"/>
      <c r="D92" s="305"/>
      <c r="E92" s="314"/>
      <c r="F92" s="316"/>
      <c r="G92" s="320"/>
      <c r="H92"/>
      <c r="I92"/>
      <c r="J92" s="279"/>
      <c r="K92" s="279"/>
      <c r="L92" s="279"/>
      <c r="M92" s="279"/>
    </row>
    <row r="93" spans="1:13" x14ac:dyDescent="0.25">
      <c r="A93" s="279">
        <v>83</v>
      </c>
      <c r="B93" s="338">
        <v>43913</v>
      </c>
      <c r="C93" s="344" t="s">
        <v>90</v>
      </c>
      <c r="D93" s="344" t="s">
        <v>4</v>
      </c>
      <c r="E93" s="315"/>
      <c r="F93" s="315"/>
      <c r="G93" s="321"/>
      <c r="H93"/>
      <c r="I93"/>
      <c r="J93" s="279"/>
      <c r="K93" s="279"/>
      <c r="L93" s="279"/>
      <c r="M93" s="279"/>
    </row>
    <row r="94" spans="1:13" x14ac:dyDescent="0.25">
      <c r="A94" s="279">
        <v>84</v>
      </c>
      <c r="B94" s="335">
        <v>43914</v>
      </c>
      <c r="C94" s="343" t="s">
        <v>90</v>
      </c>
      <c r="D94" s="343" t="s">
        <v>3</v>
      </c>
      <c r="E94" s="313"/>
      <c r="F94" s="313"/>
      <c r="G94" s="319"/>
      <c r="H94"/>
      <c r="I94"/>
      <c r="J94" s="279"/>
      <c r="K94" s="279"/>
      <c r="L94" s="279"/>
      <c r="M94" s="279"/>
    </row>
    <row r="95" spans="1:13" x14ac:dyDescent="0.25">
      <c r="A95" s="279">
        <v>85</v>
      </c>
      <c r="B95" s="335">
        <v>43915</v>
      </c>
      <c r="C95" s="343" t="s">
        <v>90</v>
      </c>
      <c r="D95" s="343" t="s">
        <v>2</v>
      </c>
      <c r="E95" s="313"/>
      <c r="F95" s="313"/>
      <c r="G95" s="319"/>
      <c r="H95"/>
      <c r="I95"/>
      <c r="J95" s="279"/>
      <c r="K95" s="279"/>
      <c r="L95" s="279"/>
      <c r="M95" s="279"/>
    </row>
    <row r="96" spans="1:13" x14ac:dyDescent="0.25">
      <c r="A96" s="279">
        <v>86</v>
      </c>
      <c r="B96" s="335">
        <v>43916</v>
      </c>
      <c r="C96" s="343" t="s">
        <v>90</v>
      </c>
      <c r="D96" s="343" t="s">
        <v>147</v>
      </c>
      <c r="E96" s="313"/>
      <c r="F96" s="313"/>
      <c r="G96" s="319"/>
      <c r="H96"/>
      <c r="I96"/>
      <c r="J96" s="279"/>
      <c r="K96" s="279"/>
      <c r="L96" s="279"/>
      <c r="M96" s="279"/>
    </row>
    <row r="97" spans="1:13" ht="16.5" thickBot="1" x14ac:dyDescent="0.3">
      <c r="A97" s="279">
        <v>87</v>
      </c>
      <c r="B97" s="335">
        <v>43917</v>
      </c>
      <c r="C97" s="343" t="s">
        <v>90</v>
      </c>
      <c r="D97" s="343" t="s">
        <v>91</v>
      </c>
      <c r="E97" s="313"/>
      <c r="F97" s="313"/>
      <c r="G97" s="319"/>
      <c r="H97"/>
      <c r="I97"/>
      <c r="J97" s="279"/>
      <c r="K97" s="279"/>
      <c r="L97" s="279"/>
      <c r="M97" s="279"/>
    </row>
    <row r="98" spans="1:13" x14ac:dyDescent="0.25">
      <c r="A98" s="279">
        <v>88</v>
      </c>
      <c r="B98" s="336">
        <v>43918</v>
      </c>
      <c r="C98" s="296"/>
      <c r="D98" s="296"/>
      <c r="E98" s="346" t="s">
        <v>5</v>
      </c>
      <c r="F98" s="350" t="s">
        <v>10</v>
      </c>
      <c r="G98" s="353" t="s">
        <v>8</v>
      </c>
      <c r="H98"/>
      <c r="I98"/>
      <c r="J98" s="279"/>
      <c r="K98" s="279"/>
      <c r="L98" s="279"/>
      <c r="M98" s="279"/>
    </row>
    <row r="99" spans="1:13" ht="16.5" thickBot="1" x14ac:dyDescent="0.3">
      <c r="A99" s="279">
        <v>89</v>
      </c>
      <c r="B99" s="337">
        <v>43919</v>
      </c>
      <c r="C99" s="305"/>
      <c r="D99" s="305"/>
      <c r="E99" s="314"/>
      <c r="F99" s="316"/>
      <c r="G99" s="320"/>
      <c r="H99"/>
      <c r="I99"/>
      <c r="J99" s="279"/>
      <c r="K99" s="279"/>
      <c r="L99" s="279"/>
      <c r="M99" s="279"/>
    </row>
    <row r="100" spans="1:13" x14ac:dyDescent="0.25">
      <c r="A100" s="279">
        <v>90</v>
      </c>
      <c r="B100" s="338">
        <v>43920</v>
      </c>
      <c r="C100" s="344" t="s">
        <v>6</v>
      </c>
      <c r="D100" s="343" t="s">
        <v>7</v>
      </c>
      <c r="E100" s="315"/>
      <c r="F100" s="315"/>
      <c r="G100" s="321"/>
      <c r="H100"/>
      <c r="I100"/>
      <c r="J100" s="279"/>
      <c r="K100" s="279"/>
      <c r="L100" s="279"/>
      <c r="M100" s="279"/>
    </row>
    <row r="101" spans="1:13" x14ac:dyDescent="0.25">
      <c r="A101" s="279">
        <v>91</v>
      </c>
      <c r="B101" s="335">
        <v>43921</v>
      </c>
      <c r="C101" s="343" t="s">
        <v>6</v>
      </c>
      <c r="D101" s="343" t="s">
        <v>10</v>
      </c>
      <c r="E101" s="313"/>
      <c r="F101" s="313"/>
      <c r="G101" s="319"/>
      <c r="H101"/>
      <c r="I101"/>
      <c r="J101" s="279"/>
      <c r="K101" s="279"/>
      <c r="L101" s="279"/>
      <c r="M101" s="279"/>
    </row>
    <row r="102" spans="1:13" x14ac:dyDescent="0.25">
      <c r="A102" s="279">
        <v>92</v>
      </c>
      <c r="B102" s="335">
        <v>43922</v>
      </c>
      <c r="C102" s="343" t="s">
        <v>6</v>
      </c>
      <c r="D102" s="343" t="s">
        <v>90</v>
      </c>
      <c r="E102" s="313"/>
      <c r="F102" s="313"/>
      <c r="G102" s="319"/>
      <c r="H102"/>
      <c r="I102"/>
      <c r="J102" s="279"/>
      <c r="K102" s="279"/>
      <c r="L102" s="279"/>
      <c r="M102" s="279"/>
    </row>
    <row r="103" spans="1:13" x14ac:dyDescent="0.25">
      <c r="A103" s="279">
        <v>93</v>
      </c>
      <c r="B103" s="335">
        <v>43923</v>
      </c>
      <c r="C103" s="343" t="s">
        <v>6</v>
      </c>
      <c r="D103" s="343" t="s">
        <v>3</v>
      </c>
      <c r="E103" s="313"/>
      <c r="F103" s="313"/>
      <c r="G103" s="319"/>
      <c r="H103"/>
      <c r="I103"/>
      <c r="J103" s="279"/>
      <c r="K103" s="279"/>
      <c r="L103" s="279"/>
      <c r="M103" s="279"/>
    </row>
    <row r="104" spans="1:13" ht="16.5" thickBot="1" x14ac:dyDescent="0.3">
      <c r="A104" s="279">
        <v>94</v>
      </c>
      <c r="B104" s="335">
        <v>43924</v>
      </c>
      <c r="C104" s="343" t="s">
        <v>6</v>
      </c>
      <c r="D104" s="343" t="s">
        <v>147</v>
      </c>
      <c r="E104" s="313"/>
      <c r="F104" s="313"/>
      <c r="G104" s="319"/>
      <c r="H104"/>
      <c r="I104"/>
      <c r="J104" s="279"/>
      <c r="K104" s="279"/>
      <c r="L104" s="279"/>
      <c r="M104" s="279"/>
    </row>
    <row r="105" spans="1:13" x14ac:dyDescent="0.25">
      <c r="A105" s="279">
        <v>95</v>
      </c>
      <c r="B105" s="336">
        <v>43925</v>
      </c>
      <c r="C105" s="296"/>
      <c r="D105" s="296"/>
      <c r="E105" s="346" t="s">
        <v>91</v>
      </c>
      <c r="F105" s="350" t="s">
        <v>2</v>
      </c>
      <c r="G105" s="353" t="s">
        <v>3</v>
      </c>
      <c r="H105"/>
      <c r="I105"/>
      <c r="J105" s="279"/>
      <c r="K105" s="279"/>
      <c r="L105" s="279"/>
      <c r="M105" s="279"/>
    </row>
    <row r="106" spans="1:13" ht="16.5" thickBot="1" x14ac:dyDescent="0.3">
      <c r="A106" s="279">
        <v>96</v>
      </c>
      <c r="B106" s="337">
        <v>43926</v>
      </c>
      <c r="C106" s="305"/>
      <c r="D106" s="305"/>
      <c r="E106" s="314"/>
      <c r="F106" s="316"/>
      <c r="G106" s="320"/>
      <c r="H106"/>
      <c r="I106"/>
      <c r="J106" s="279"/>
      <c r="K106" s="279"/>
      <c r="L106" s="279"/>
      <c r="M106" s="279"/>
    </row>
    <row r="107" spans="1:13" x14ac:dyDescent="0.25">
      <c r="A107" s="279">
        <v>97</v>
      </c>
      <c r="B107" s="338">
        <v>43927</v>
      </c>
      <c r="C107" s="344" t="s">
        <v>2</v>
      </c>
      <c r="D107" s="344" t="s">
        <v>6</v>
      </c>
      <c r="E107" s="315"/>
      <c r="F107" s="315"/>
      <c r="G107" s="321"/>
      <c r="H107"/>
      <c r="I107"/>
      <c r="J107" s="279"/>
      <c r="K107" s="279"/>
      <c r="L107" s="279"/>
      <c r="M107" s="279"/>
    </row>
    <row r="108" spans="1:13" x14ac:dyDescent="0.25">
      <c r="A108" s="279">
        <v>98</v>
      </c>
      <c r="B108" s="335">
        <v>43928</v>
      </c>
      <c r="C108" s="343" t="s">
        <v>2</v>
      </c>
      <c r="D108" s="343" t="s">
        <v>5</v>
      </c>
      <c r="E108" s="313"/>
      <c r="F108" s="313"/>
      <c r="G108" s="319"/>
      <c r="H108"/>
      <c r="I108"/>
      <c r="J108" s="279"/>
      <c r="K108" s="279"/>
      <c r="L108" s="279"/>
      <c r="M108" s="279"/>
    </row>
    <row r="109" spans="1:13" x14ac:dyDescent="0.25">
      <c r="A109" s="279">
        <v>99</v>
      </c>
      <c r="B109" s="335">
        <v>43929</v>
      </c>
      <c r="C109" s="343" t="s">
        <v>2</v>
      </c>
      <c r="D109" s="343" t="s">
        <v>10</v>
      </c>
      <c r="E109" s="313"/>
      <c r="F109" s="313"/>
      <c r="G109" s="319"/>
      <c r="H109"/>
      <c r="I109"/>
      <c r="J109" s="279"/>
      <c r="K109" s="279"/>
      <c r="L109" s="279"/>
      <c r="M109" s="279"/>
    </row>
    <row r="110" spans="1:13" x14ac:dyDescent="0.25">
      <c r="A110" s="279">
        <v>100</v>
      </c>
      <c r="B110" s="335">
        <v>43930</v>
      </c>
      <c r="C110" s="343" t="s">
        <v>2</v>
      </c>
      <c r="D110" s="343" t="s">
        <v>8</v>
      </c>
      <c r="E110" s="313"/>
      <c r="F110" s="313"/>
      <c r="G110" s="319"/>
      <c r="H110"/>
      <c r="I110"/>
      <c r="J110" s="279"/>
      <c r="K110" s="279"/>
      <c r="L110" s="279"/>
      <c r="M110" s="279"/>
    </row>
    <row r="111" spans="1:13" ht="16.5" thickBot="1" x14ac:dyDescent="0.3">
      <c r="A111" s="279">
        <v>101</v>
      </c>
      <c r="B111" s="339">
        <v>43931</v>
      </c>
      <c r="C111" s="311"/>
      <c r="D111" s="311"/>
      <c r="E111" s="347" t="s">
        <v>5</v>
      </c>
      <c r="F111" s="347" t="s">
        <v>7</v>
      </c>
      <c r="G111" s="354" t="s">
        <v>147</v>
      </c>
      <c r="H111"/>
      <c r="I111"/>
      <c r="J111" s="279"/>
      <c r="K111" s="279"/>
      <c r="L111" s="279"/>
      <c r="M111" s="279"/>
    </row>
    <row r="112" spans="1:13" x14ac:dyDescent="0.25">
      <c r="A112" s="279">
        <v>102</v>
      </c>
      <c r="B112" s="336">
        <v>43932</v>
      </c>
      <c r="C112" s="296"/>
      <c r="D112" s="296"/>
      <c r="E112" s="346" t="s">
        <v>5</v>
      </c>
      <c r="F112" s="350" t="s">
        <v>7</v>
      </c>
      <c r="G112" s="353" t="s">
        <v>147</v>
      </c>
      <c r="H112"/>
      <c r="I112"/>
      <c r="J112" s="279"/>
      <c r="K112" s="279"/>
      <c r="L112" s="279"/>
      <c r="M112" s="279"/>
    </row>
    <row r="113" spans="1:13" ht="16.5" thickBot="1" x14ac:dyDescent="0.3">
      <c r="A113" s="279">
        <v>103</v>
      </c>
      <c r="B113" s="337">
        <v>43933</v>
      </c>
      <c r="C113" s="305"/>
      <c r="D113" s="305"/>
      <c r="E113" s="314"/>
      <c r="F113" s="316"/>
      <c r="G113" s="320"/>
      <c r="H113"/>
      <c r="I113"/>
      <c r="J113" s="279"/>
      <c r="K113" s="279"/>
      <c r="L113" s="279"/>
      <c r="M113" s="279"/>
    </row>
    <row r="114" spans="1:13" x14ac:dyDescent="0.25">
      <c r="A114" s="279">
        <v>104</v>
      </c>
      <c r="B114" s="333">
        <v>43934</v>
      </c>
      <c r="C114" s="301"/>
      <c r="D114" s="301"/>
      <c r="E114" s="348" t="s">
        <v>5</v>
      </c>
      <c r="F114" s="301"/>
      <c r="G114" s="331"/>
      <c r="H114"/>
      <c r="I114"/>
      <c r="J114" s="279"/>
      <c r="K114" s="279"/>
      <c r="L114" s="279"/>
      <c r="M114" s="279"/>
    </row>
    <row r="115" spans="1:13" x14ac:dyDescent="0.25">
      <c r="A115" s="279">
        <v>105</v>
      </c>
      <c r="B115" s="335">
        <v>43935</v>
      </c>
      <c r="C115" s="343" t="s">
        <v>147</v>
      </c>
      <c r="D115" s="343" t="s">
        <v>2</v>
      </c>
      <c r="E115" s="313"/>
      <c r="F115" s="313"/>
      <c r="G115" s="319"/>
      <c r="H115"/>
      <c r="I115"/>
      <c r="J115" s="279"/>
      <c r="K115" s="279"/>
      <c r="L115" s="279"/>
      <c r="M115" s="279"/>
    </row>
    <row r="116" spans="1:13" x14ac:dyDescent="0.25">
      <c r="A116" s="279">
        <v>106</v>
      </c>
      <c r="B116" s="335">
        <v>43936</v>
      </c>
      <c r="C116" s="343" t="s">
        <v>147</v>
      </c>
      <c r="D116" s="343" t="s">
        <v>4</v>
      </c>
      <c r="E116" s="313"/>
      <c r="F116" s="313"/>
      <c r="G116" s="319"/>
      <c r="H116"/>
      <c r="I116"/>
      <c r="J116" s="279"/>
      <c r="K116" s="279"/>
      <c r="L116" s="279"/>
      <c r="M116" s="279"/>
    </row>
    <row r="117" spans="1:13" x14ac:dyDescent="0.25">
      <c r="A117" s="279">
        <v>107</v>
      </c>
      <c r="B117" s="335">
        <v>43937</v>
      </c>
      <c r="C117" s="343" t="s">
        <v>147</v>
      </c>
      <c r="D117" s="343" t="s">
        <v>7</v>
      </c>
      <c r="E117" s="313"/>
      <c r="F117" s="313"/>
      <c r="G117" s="319"/>
      <c r="H117"/>
      <c r="I117"/>
      <c r="J117" s="279"/>
      <c r="K117" s="279"/>
      <c r="L117" s="279"/>
      <c r="M117" s="279"/>
    </row>
    <row r="118" spans="1:13" ht="16.5" thickBot="1" x14ac:dyDescent="0.3">
      <c r="A118" s="279">
        <v>108</v>
      </c>
      <c r="B118" s="335">
        <v>43938</v>
      </c>
      <c r="C118" s="343" t="s">
        <v>147</v>
      </c>
      <c r="D118" s="343" t="s">
        <v>90</v>
      </c>
      <c r="E118" s="313"/>
      <c r="F118" s="313"/>
      <c r="G118" s="319"/>
      <c r="H118"/>
      <c r="I118"/>
      <c r="J118" s="279"/>
      <c r="K118" s="279"/>
      <c r="L118" s="279"/>
      <c r="M118" s="279"/>
    </row>
    <row r="119" spans="1:13" x14ac:dyDescent="0.25">
      <c r="A119" s="279">
        <v>109</v>
      </c>
      <c r="B119" s="336">
        <v>43939</v>
      </c>
      <c r="C119" s="296"/>
      <c r="D119" s="296"/>
      <c r="E119" s="346" t="s">
        <v>6</v>
      </c>
      <c r="F119" s="350" t="s">
        <v>4</v>
      </c>
      <c r="G119" s="353" t="s">
        <v>91</v>
      </c>
      <c r="H119"/>
      <c r="I119"/>
      <c r="J119" s="279"/>
      <c r="K119" s="279"/>
      <c r="L119" s="279"/>
      <c r="M119" s="279"/>
    </row>
    <row r="120" spans="1:13" ht="16.5" thickBot="1" x14ac:dyDescent="0.3">
      <c r="A120" s="279">
        <v>110</v>
      </c>
      <c r="B120" s="337">
        <v>43940</v>
      </c>
      <c r="C120" s="305"/>
      <c r="D120" s="305"/>
      <c r="E120" s="314"/>
      <c r="F120" s="316"/>
      <c r="G120" s="320"/>
      <c r="H120"/>
      <c r="I120"/>
      <c r="J120" s="279"/>
      <c r="K120" s="279"/>
      <c r="L120" s="279"/>
      <c r="M120" s="279"/>
    </row>
    <row r="121" spans="1:13" x14ac:dyDescent="0.25">
      <c r="A121" s="279">
        <v>111</v>
      </c>
      <c r="B121" s="338">
        <v>43941</v>
      </c>
      <c r="C121" s="344" t="s">
        <v>8</v>
      </c>
      <c r="D121" s="344" t="s">
        <v>91</v>
      </c>
      <c r="E121" s="315"/>
      <c r="F121" s="315"/>
      <c r="G121" s="321"/>
      <c r="H121"/>
      <c r="I121"/>
      <c r="J121" s="279"/>
      <c r="K121" s="279"/>
      <c r="L121" s="279"/>
      <c r="M121" s="279"/>
    </row>
    <row r="122" spans="1:13" x14ac:dyDescent="0.25">
      <c r="A122" s="279">
        <v>112</v>
      </c>
      <c r="B122" s="335">
        <v>43942</v>
      </c>
      <c r="C122" s="343" t="s">
        <v>8</v>
      </c>
      <c r="D122" s="343" t="s">
        <v>3</v>
      </c>
      <c r="E122" s="313"/>
      <c r="F122" s="313"/>
      <c r="G122" s="319"/>
      <c r="H122"/>
      <c r="I122"/>
      <c r="J122" s="279"/>
      <c r="K122" s="279"/>
      <c r="L122" s="279"/>
      <c r="M122" s="279"/>
    </row>
    <row r="123" spans="1:13" x14ac:dyDescent="0.25">
      <c r="A123" s="279">
        <v>113</v>
      </c>
      <c r="B123" s="335">
        <v>43943</v>
      </c>
      <c r="C123" s="343" t="s">
        <v>8</v>
      </c>
      <c r="D123" s="343" t="s">
        <v>147</v>
      </c>
      <c r="E123" s="313"/>
      <c r="F123" s="313"/>
      <c r="G123" s="319"/>
      <c r="H123"/>
      <c r="I123"/>
      <c r="J123" s="279"/>
      <c r="K123" s="279"/>
      <c r="L123" s="279"/>
      <c r="M123" s="279"/>
    </row>
    <row r="124" spans="1:13" x14ac:dyDescent="0.25">
      <c r="A124" s="279">
        <v>114</v>
      </c>
      <c r="B124" s="335">
        <v>43944</v>
      </c>
      <c r="C124" s="343" t="s">
        <v>8</v>
      </c>
      <c r="D124" s="343" t="s">
        <v>6</v>
      </c>
      <c r="E124" s="313"/>
      <c r="F124" s="313"/>
      <c r="G124" s="319"/>
      <c r="H124"/>
      <c r="I124"/>
      <c r="J124" s="279"/>
      <c r="K124" s="279"/>
      <c r="L124" s="279"/>
      <c r="M124" s="279"/>
    </row>
    <row r="125" spans="1:13" ht="16.5" thickBot="1" x14ac:dyDescent="0.3">
      <c r="A125" s="279">
        <v>115</v>
      </c>
      <c r="B125" s="335">
        <v>43945</v>
      </c>
      <c r="C125" s="343" t="s">
        <v>8</v>
      </c>
      <c r="D125" s="343" t="s">
        <v>5</v>
      </c>
      <c r="E125" s="313"/>
      <c r="F125" s="313"/>
      <c r="G125" s="319"/>
      <c r="H125"/>
      <c r="I125"/>
      <c r="J125" s="279"/>
      <c r="K125" s="279"/>
      <c r="L125" s="279"/>
      <c r="M125" s="279"/>
    </row>
    <row r="126" spans="1:13" x14ac:dyDescent="0.25">
      <c r="A126" s="279">
        <v>116</v>
      </c>
      <c r="B126" s="336">
        <v>43946</v>
      </c>
      <c r="C126" s="296"/>
      <c r="D126" s="296"/>
      <c r="E126" s="346" t="s">
        <v>7</v>
      </c>
      <c r="F126" s="350" t="s">
        <v>5</v>
      </c>
      <c r="G126" s="353" t="s">
        <v>6</v>
      </c>
      <c r="H126"/>
      <c r="I126"/>
      <c r="J126" s="279"/>
      <c r="K126" s="279"/>
      <c r="L126" s="279"/>
      <c r="M126" s="279"/>
    </row>
    <row r="127" spans="1:13" ht="16.5" thickBot="1" x14ac:dyDescent="0.3">
      <c r="A127" s="279">
        <v>117</v>
      </c>
      <c r="B127" s="337">
        <v>43947</v>
      </c>
      <c r="C127" s="305"/>
      <c r="D127" s="305"/>
      <c r="E127" s="314"/>
      <c r="F127" s="316"/>
      <c r="G127" s="320"/>
      <c r="H127"/>
      <c r="I127"/>
      <c r="J127" s="279"/>
      <c r="K127" s="279"/>
      <c r="L127" s="279"/>
      <c r="M127" s="279"/>
    </row>
    <row r="128" spans="1:13" x14ac:dyDescent="0.25">
      <c r="A128" s="279">
        <v>118</v>
      </c>
      <c r="B128" s="338">
        <v>43948</v>
      </c>
      <c r="C128" s="344" t="s">
        <v>10</v>
      </c>
      <c r="D128" s="343" t="s">
        <v>4</v>
      </c>
      <c r="E128" s="315"/>
      <c r="F128" s="315"/>
      <c r="G128" s="321"/>
      <c r="H128"/>
      <c r="I128"/>
      <c r="J128" s="279"/>
      <c r="K128" s="279"/>
      <c r="L128" s="279"/>
      <c r="M128" s="279"/>
    </row>
    <row r="129" spans="1:13" x14ac:dyDescent="0.25">
      <c r="A129" s="279">
        <v>119</v>
      </c>
      <c r="B129" s="335">
        <v>43949</v>
      </c>
      <c r="C129" s="343" t="s">
        <v>10</v>
      </c>
      <c r="D129" s="343" t="s">
        <v>90</v>
      </c>
      <c r="E129" s="313"/>
      <c r="F129" s="313"/>
      <c r="G129" s="319"/>
      <c r="H129"/>
      <c r="I129"/>
      <c r="J129" s="279"/>
      <c r="K129" s="279"/>
      <c r="L129" s="279"/>
      <c r="M129" s="279"/>
    </row>
    <row r="130" spans="1:13" x14ac:dyDescent="0.25">
      <c r="A130" s="279">
        <v>120</v>
      </c>
      <c r="B130" s="335">
        <v>43950</v>
      </c>
      <c r="C130" s="343" t="s">
        <v>10</v>
      </c>
      <c r="D130" s="343" t="s">
        <v>91</v>
      </c>
      <c r="E130" s="313"/>
      <c r="F130" s="313"/>
      <c r="G130" s="319"/>
      <c r="H130"/>
      <c r="I130"/>
      <c r="J130" s="279"/>
      <c r="K130" s="279"/>
      <c r="L130" s="279"/>
      <c r="M130" s="279"/>
    </row>
    <row r="131" spans="1:13" x14ac:dyDescent="0.25">
      <c r="A131" s="279">
        <v>121</v>
      </c>
      <c r="B131" s="335">
        <v>43951</v>
      </c>
      <c r="C131" s="343" t="s">
        <v>10</v>
      </c>
      <c r="D131" s="343" t="s">
        <v>8</v>
      </c>
      <c r="E131" s="313"/>
      <c r="F131" s="313"/>
      <c r="G131" s="319"/>
      <c r="H131"/>
      <c r="I131"/>
      <c r="J131" s="279"/>
      <c r="K131" s="279"/>
      <c r="L131" s="279"/>
      <c r="M131" s="279"/>
    </row>
    <row r="132" spans="1:13" ht="16.5" thickBot="1" x14ac:dyDescent="0.3">
      <c r="A132" s="279">
        <v>122</v>
      </c>
      <c r="B132" s="339">
        <v>43952</v>
      </c>
      <c r="C132" s="311"/>
      <c r="D132" s="311"/>
      <c r="E132" s="347" t="s">
        <v>147</v>
      </c>
      <c r="F132" s="347" t="s">
        <v>2</v>
      </c>
      <c r="G132" s="354" t="s">
        <v>4</v>
      </c>
      <c r="H132"/>
      <c r="I132"/>
      <c r="J132" s="279"/>
      <c r="K132" s="279"/>
      <c r="L132" s="279"/>
      <c r="M132" s="279"/>
    </row>
    <row r="133" spans="1:13" x14ac:dyDescent="0.25">
      <c r="A133" s="279">
        <v>123</v>
      </c>
      <c r="B133" s="336">
        <v>43953</v>
      </c>
      <c r="C133" s="296"/>
      <c r="D133" s="296"/>
      <c r="E133" s="346" t="s">
        <v>147</v>
      </c>
      <c r="F133" s="350" t="s">
        <v>2</v>
      </c>
      <c r="G133" s="353" t="s">
        <v>4</v>
      </c>
      <c r="H133"/>
      <c r="I133"/>
      <c r="J133" s="279"/>
      <c r="K133" s="279"/>
      <c r="L133" s="279"/>
      <c r="M133" s="279"/>
    </row>
    <row r="134" spans="1:13" ht="16.5" thickBot="1" x14ac:dyDescent="0.3">
      <c r="A134" s="279">
        <v>124</v>
      </c>
      <c r="B134" s="337">
        <v>43954</v>
      </c>
      <c r="C134" s="305"/>
      <c r="D134" s="305"/>
      <c r="E134" s="314"/>
      <c r="F134" s="316"/>
      <c r="G134" s="320"/>
      <c r="H134"/>
      <c r="I134"/>
      <c r="J134" s="279"/>
      <c r="K134" s="279"/>
      <c r="L134" s="279"/>
      <c r="M134" s="279"/>
    </row>
    <row r="135" spans="1:13" x14ac:dyDescent="0.25">
      <c r="A135" s="279">
        <v>125</v>
      </c>
      <c r="B135" s="338">
        <v>43955</v>
      </c>
      <c r="C135" s="344" t="s">
        <v>4</v>
      </c>
      <c r="D135" s="344" t="s">
        <v>10</v>
      </c>
      <c r="E135" s="315"/>
      <c r="F135" s="315"/>
      <c r="G135" s="321"/>
      <c r="H135"/>
      <c r="I135"/>
      <c r="J135" s="279"/>
      <c r="K135" s="279"/>
      <c r="L135" s="279"/>
      <c r="M135" s="279"/>
    </row>
    <row r="136" spans="1:13" x14ac:dyDescent="0.25">
      <c r="A136" s="279">
        <v>126</v>
      </c>
      <c r="B136" s="335">
        <v>43956</v>
      </c>
      <c r="C136" s="343" t="s">
        <v>4</v>
      </c>
      <c r="D136" s="343" t="s">
        <v>6</v>
      </c>
      <c r="E136" s="313"/>
      <c r="F136" s="313"/>
      <c r="G136" s="319"/>
      <c r="H136"/>
      <c r="I136"/>
      <c r="J136" s="279"/>
      <c r="K136" s="279"/>
      <c r="L136" s="279"/>
      <c r="M136" s="279"/>
    </row>
    <row r="137" spans="1:13" x14ac:dyDescent="0.25">
      <c r="A137" s="279">
        <v>127</v>
      </c>
      <c r="B137" s="335">
        <v>43957</v>
      </c>
      <c r="C137" s="343" t="s">
        <v>4</v>
      </c>
      <c r="D137" s="343" t="s">
        <v>2</v>
      </c>
      <c r="E137" s="313"/>
      <c r="F137" s="313"/>
      <c r="G137" s="319"/>
      <c r="H137"/>
      <c r="I137"/>
      <c r="J137" s="279"/>
      <c r="K137" s="279"/>
      <c r="L137" s="279"/>
      <c r="M137" s="279"/>
    </row>
    <row r="138" spans="1:13" x14ac:dyDescent="0.25">
      <c r="A138" s="279">
        <v>128</v>
      </c>
      <c r="B138" s="335">
        <v>43958</v>
      </c>
      <c r="C138" s="343" t="s">
        <v>4</v>
      </c>
      <c r="D138" s="343" t="s">
        <v>7</v>
      </c>
      <c r="E138" s="313"/>
      <c r="F138" s="313"/>
      <c r="G138" s="319"/>
      <c r="H138"/>
      <c r="I138"/>
      <c r="J138" s="279"/>
      <c r="K138" s="279"/>
      <c r="L138" s="279"/>
      <c r="M138" s="279"/>
    </row>
    <row r="139" spans="1:13" ht="16.5" thickBot="1" x14ac:dyDescent="0.3">
      <c r="A139" s="279">
        <v>129</v>
      </c>
      <c r="B139" s="339">
        <v>43959</v>
      </c>
      <c r="C139" s="311"/>
      <c r="D139" s="311"/>
      <c r="E139" s="347" t="s">
        <v>2</v>
      </c>
      <c r="F139" s="347" t="s">
        <v>6</v>
      </c>
      <c r="G139" s="354" t="s">
        <v>7</v>
      </c>
      <c r="H139"/>
      <c r="I139"/>
      <c r="J139" s="279"/>
      <c r="K139" s="279"/>
      <c r="L139" s="279"/>
      <c r="M139" s="279"/>
    </row>
    <row r="140" spans="1:13" x14ac:dyDescent="0.25">
      <c r="A140" s="279">
        <v>130</v>
      </c>
      <c r="B140" s="336">
        <v>43960</v>
      </c>
      <c r="C140" s="296"/>
      <c r="D140" s="296"/>
      <c r="E140" s="346" t="s">
        <v>2</v>
      </c>
      <c r="F140" s="350" t="s">
        <v>6</v>
      </c>
      <c r="G140" s="353" t="s">
        <v>7</v>
      </c>
      <c r="H140"/>
      <c r="I140"/>
      <c r="J140" s="279"/>
      <c r="K140" s="279"/>
      <c r="L140" s="279"/>
      <c r="M140" s="279"/>
    </row>
    <row r="141" spans="1:13" ht="16.5" thickBot="1" x14ac:dyDescent="0.3">
      <c r="A141" s="279">
        <v>131</v>
      </c>
      <c r="B141" s="337">
        <v>43961</v>
      </c>
      <c r="C141" s="305"/>
      <c r="D141" s="305"/>
      <c r="E141" s="314"/>
      <c r="F141" s="316"/>
      <c r="G141" s="320"/>
      <c r="H141"/>
      <c r="I141"/>
      <c r="J141" s="279"/>
      <c r="K141" s="279"/>
      <c r="L141" s="279"/>
      <c r="M141" s="279"/>
    </row>
    <row r="142" spans="1:13" x14ac:dyDescent="0.25">
      <c r="A142" s="279">
        <v>132</v>
      </c>
      <c r="B142" s="338">
        <v>43962</v>
      </c>
      <c r="C142" s="344" t="s">
        <v>7</v>
      </c>
      <c r="D142" s="344" t="s">
        <v>3</v>
      </c>
      <c r="E142" s="315"/>
      <c r="F142" s="315"/>
      <c r="G142" s="321"/>
      <c r="H142"/>
      <c r="I142"/>
      <c r="J142" s="279"/>
      <c r="K142" s="279"/>
      <c r="L142" s="279"/>
      <c r="M142" s="279"/>
    </row>
    <row r="143" spans="1:13" x14ac:dyDescent="0.25">
      <c r="A143" s="279">
        <v>133</v>
      </c>
      <c r="B143" s="335">
        <v>43963</v>
      </c>
      <c r="C143" s="343" t="s">
        <v>7</v>
      </c>
      <c r="D143" s="343" t="s">
        <v>10</v>
      </c>
      <c r="E143" s="313"/>
      <c r="F143" s="313"/>
      <c r="G143" s="319"/>
      <c r="H143"/>
      <c r="I143"/>
      <c r="J143" s="279"/>
      <c r="K143" s="279"/>
      <c r="L143" s="279"/>
      <c r="M143" s="279"/>
    </row>
    <row r="144" spans="1:13" x14ac:dyDescent="0.25">
      <c r="A144" s="279">
        <v>134</v>
      </c>
      <c r="B144" s="335">
        <v>43964</v>
      </c>
      <c r="C144" s="343" t="s">
        <v>7</v>
      </c>
      <c r="D144" s="343" t="s">
        <v>5</v>
      </c>
      <c r="E144" s="313"/>
      <c r="F144" s="313"/>
      <c r="G144" s="319"/>
      <c r="H144"/>
      <c r="I144"/>
      <c r="J144" s="279"/>
      <c r="K144" s="279"/>
      <c r="L144" s="279"/>
      <c r="M144" s="279"/>
    </row>
    <row r="145" spans="1:13" x14ac:dyDescent="0.25">
      <c r="A145" s="279">
        <v>135</v>
      </c>
      <c r="B145" s="335">
        <v>43965</v>
      </c>
      <c r="C145" s="343" t="s">
        <v>7</v>
      </c>
      <c r="D145" s="343" t="s">
        <v>90</v>
      </c>
      <c r="E145" s="313"/>
      <c r="F145" s="313"/>
      <c r="G145" s="319"/>
      <c r="H145"/>
      <c r="I145"/>
      <c r="J145" s="279"/>
      <c r="K145" s="279"/>
      <c r="L145" s="279"/>
      <c r="M145" s="279"/>
    </row>
    <row r="146" spans="1:13" ht="16.5" thickBot="1" x14ac:dyDescent="0.3">
      <c r="A146" s="279">
        <v>136</v>
      </c>
      <c r="B146" s="335">
        <v>43966</v>
      </c>
      <c r="C146" s="343" t="s">
        <v>7</v>
      </c>
      <c r="D146" s="343" t="s">
        <v>8</v>
      </c>
      <c r="E146" s="313"/>
      <c r="F146" s="313"/>
      <c r="G146" s="319"/>
      <c r="H146"/>
      <c r="I146"/>
      <c r="J146" s="279"/>
      <c r="K146" s="279"/>
      <c r="L146" s="279"/>
      <c r="M146" s="279"/>
    </row>
    <row r="147" spans="1:13" x14ac:dyDescent="0.25">
      <c r="A147" s="279">
        <v>137</v>
      </c>
      <c r="B147" s="336">
        <v>43967</v>
      </c>
      <c r="C147" s="296"/>
      <c r="D147" s="296"/>
      <c r="E147" s="346" t="s">
        <v>90</v>
      </c>
      <c r="F147" s="350" t="s">
        <v>147</v>
      </c>
      <c r="G147" s="353" t="s">
        <v>10</v>
      </c>
      <c r="H147"/>
      <c r="I147"/>
      <c r="J147" s="279"/>
      <c r="K147" s="279"/>
      <c r="L147" s="279"/>
      <c r="M147" s="279"/>
    </row>
    <row r="148" spans="1:13" ht="16.5" thickBot="1" x14ac:dyDescent="0.3">
      <c r="A148" s="279">
        <v>138</v>
      </c>
      <c r="B148" s="337">
        <v>43968</v>
      </c>
      <c r="C148" s="305"/>
      <c r="D148" s="305"/>
      <c r="E148" s="314"/>
      <c r="F148" s="316"/>
      <c r="G148" s="320"/>
      <c r="H148"/>
      <c r="I148"/>
      <c r="J148" s="279"/>
      <c r="K148" s="279"/>
      <c r="L148" s="279"/>
      <c r="M148" s="279"/>
    </row>
    <row r="149" spans="1:13" x14ac:dyDescent="0.25">
      <c r="A149" s="279">
        <v>139</v>
      </c>
      <c r="B149" s="338">
        <v>43969</v>
      </c>
      <c r="C149" s="344" t="s">
        <v>91</v>
      </c>
      <c r="D149" s="344" t="s">
        <v>2</v>
      </c>
      <c r="E149" s="315"/>
      <c r="F149" s="315"/>
      <c r="G149" s="321"/>
      <c r="H149"/>
      <c r="I149"/>
      <c r="J149" s="279"/>
      <c r="K149" s="279"/>
      <c r="L149" s="279"/>
      <c r="M149" s="279"/>
    </row>
    <row r="150" spans="1:13" x14ac:dyDescent="0.25">
      <c r="A150" s="279">
        <v>140</v>
      </c>
      <c r="B150" s="335">
        <v>43970</v>
      </c>
      <c r="C150" s="343" t="s">
        <v>91</v>
      </c>
      <c r="D150" s="343" t="s">
        <v>147</v>
      </c>
      <c r="E150" s="313"/>
      <c r="F150" s="313"/>
      <c r="G150" s="319"/>
      <c r="H150"/>
      <c r="I150"/>
      <c r="J150" s="279"/>
      <c r="K150" s="279"/>
      <c r="L150" s="279"/>
      <c r="M150" s="279"/>
    </row>
    <row r="151" spans="1:13" x14ac:dyDescent="0.25">
      <c r="A151" s="279">
        <v>141</v>
      </c>
      <c r="B151" s="335">
        <v>43971</v>
      </c>
      <c r="C151" s="343" t="s">
        <v>91</v>
      </c>
      <c r="D151" s="343" t="s">
        <v>6</v>
      </c>
      <c r="E151" s="313"/>
      <c r="F151" s="313"/>
      <c r="G151" s="319"/>
      <c r="H151"/>
      <c r="I151"/>
      <c r="J151" s="279"/>
      <c r="K151" s="279"/>
      <c r="L151" s="279"/>
      <c r="M151" s="279"/>
    </row>
    <row r="152" spans="1:13" x14ac:dyDescent="0.25">
      <c r="A152" s="279">
        <v>142</v>
      </c>
      <c r="B152" s="335">
        <v>43972</v>
      </c>
      <c r="C152" s="343" t="s">
        <v>91</v>
      </c>
      <c r="D152" s="343" t="s">
        <v>4</v>
      </c>
      <c r="E152" s="313"/>
      <c r="F152" s="313"/>
      <c r="G152" s="319"/>
      <c r="H152"/>
      <c r="I152"/>
      <c r="J152" s="279"/>
      <c r="K152" s="279"/>
      <c r="L152" s="279"/>
      <c r="M152" s="279"/>
    </row>
    <row r="153" spans="1:13" ht="16.5" thickBot="1" x14ac:dyDescent="0.3">
      <c r="A153" s="279">
        <v>143</v>
      </c>
      <c r="B153" s="335">
        <v>43973</v>
      </c>
      <c r="C153" s="343" t="s">
        <v>91</v>
      </c>
      <c r="D153" s="343" t="s">
        <v>3</v>
      </c>
      <c r="E153" s="313"/>
      <c r="F153" s="313"/>
      <c r="G153" s="319"/>
      <c r="H153"/>
      <c r="I153"/>
      <c r="J153" s="279"/>
      <c r="K153" s="279"/>
      <c r="L153" s="279"/>
      <c r="M153" s="279"/>
    </row>
    <row r="154" spans="1:13" x14ac:dyDescent="0.25">
      <c r="A154" s="279">
        <v>144</v>
      </c>
      <c r="B154" s="336">
        <v>43974</v>
      </c>
      <c r="C154" s="296"/>
      <c r="D154" s="296"/>
      <c r="E154" s="346" t="s">
        <v>8</v>
      </c>
      <c r="F154" s="350" t="s">
        <v>91</v>
      </c>
      <c r="G154" s="353" t="s">
        <v>90</v>
      </c>
      <c r="H154"/>
      <c r="I154"/>
      <c r="J154" s="279"/>
      <c r="K154" s="279"/>
      <c r="L154" s="279"/>
      <c r="M154" s="279"/>
    </row>
    <row r="155" spans="1:13" ht="16.5" thickBot="1" x14ac:dyDescent="0.3">
      <c r="A155" s="279">
        <v>145</v>
      </c>
      <c r="B155" s="337">
        <v>43975</v>
      </c>
      <c r="C155" s="305"/>
      <c r="D155" s="305"/>
      <c r="E155" s="314"/>
      <c r="F155" s="316"/>
      <c r="G155" s="320"/>
      <c r="H155"/>
      <c r="I155"/>
      <c r="J155" s="279"/>
      <c r="K155" s="279"/>
      <c r="L155" s="279"/>
      <c r="M155" s="279"/>
    </row>
    <row r="156" spans="1:13" x14ac:dyDescent="0.25">
      <c r="A156" s="279">
        <v>146</v>
      </c>
      <c r="B156" s="338">
        <v>43976</v>
      </c>
      <c r="C156" s="344" t="s">
        <v>5</v>
      </c>
      <c r="D156" s="344" t="s">
        <v>7</v>
      </c>
      <c r="E156" s="315"/>
      <c r="F156" s="315"/>
      <c r="G156" s="321"/>
      <c r="H156"/>
      <c r="I156"/>
      <c r="J156" s="279"/>
      <c r="K156" s="279"/>
      <c r="L156" s="279"/>
      <c r="M156" s="279"/>
    </row>
    <row r="157" spans="1:13" x14ac:dyDescent="0.25">
      <c r="A157" s="279">
        <v>147</v>
      </c>
      <c r="B157" s="335">
        <v>43977</v>
      </c>
      <c r="C157" s="343" t="s">
        <v>5</v>
      </c>
      <c r="D157" s="343" t="s">
        <v>91</v>
      </c>
      <c r="E157" s="313"/>
      <c r="F157" s="313"/>
      <c r="G157" s="319"/>
      <c r="H157"/>
      <c r="I157"/>
      <c r="J157" s="279"/>
      <c r="K157" s="279"/>
      <c r="L157" s="279"/>
      <c r="M157" s="279"/>
    </row>
    <row r="158" spans="1:13" x14ac:dyDescent="0.25">
      <c r="A158" s="279">
        <v>148</v>
      </c>
      <c r="B158" s="335">
        <v>43978</v>
      </c>
      <c r="C158" s="343" t="s">
        <v>5</v>
      </c>
      <c r="D158" s="343" t="s">
        <v>10</v>
      </c>
      <c r="E158" s="313"/>
      <c r="F158" s="313"/>
      <c r="G158" s="319"/>
      <c r="H158"/>
      <c r="I158"/>
      <c r="J158" s="279"/>
      <c r="K158" s="279"/>
      <c r="L158" s="279"/>
      <c r="M158" s="279"/>
    </row>
    <row r="159" spans="1:13" x14ac:dyDescent="0.25">
      <c r="A159" s="279">
        <v>149</v>
      </c>
      <c r="B159" s="335">
        <v>43979</v>
      </c>
      <c r="C159" s="343" t="s">
        <v>5</v>
      </c>
      <c r="D159" s="343" t="s">
        <v>147</v>
      </c>
      <c r="E159" s="313"/>
      <c r="F159" s="313"/>
      <c r="G159" s="319"/>
      <c r="H159"/>
      <c r="I159"/>
      <c r="J159" s="279"/>
      <c r="K159" s="279"/>
      <c r="L159" s="279"/>
      <c r="M159" s="279"/>
    </row>
    <row r="160" spans="1:13" ht="16.5" thickBot="1" x14ac:dyDescent="0.3">
      <c r="A160" s="279">
        <v>150</v>
      </c>
      <c r="B160" s="335">
        <v>43980</v>
      </c>
      <c r="C160" s="343" t="s">
        <v>5</v>
      </c>
      <c r="D160" s="343" t="s">
        <v>90</v>
      </c>
      <c r="E160" s="313"/>
      <c r="F160" s="313"/>
      <c r="G160" s="319"/>
      <c r="H160"/>
      <c r="I160"/>
      <c r="J160" s="279"/>
      <c r="K160" s="279"/>
      <c r="L160" s="279"/>
      <c r="M160" s="279"/>
    </row>
    <row r="161" spans="1:13" x14ac:dyDescent="0.25">
      <c r="A161" s="279">
        <v>151</v>
      </c>
      <c r="B161" s="336">
        <v>43981</v>
      </c>
      <c r="C161" s="296"/>
      <c r="D161" s="296"/>
      <c r="E161" s="346" t="s">
        <v>4</v>
      </c>
      <c r="F161" s="350" t="s">
        <v>90</v>
      </c>
      <c r="G161" s="353" t="s">
        <v>8</v>
      </c>
      <c r="H161"/>
      <c r="I161"/>
      <c r="J161" s="279"/>
      <c r="K161" s="279"/>
      <c r="L161" s="279"/>
      <c r="M161" s="279"/>
    </row>
    <row r="162" spans="1:13" ht="16.5" thickBot="1" x14ac:dyDescent="0.3">
      <c r="A162" s="279">
        <v>152</v>
      </c>
      <c r="B162" s="337">
        <v>43982</v>
      </c>
      <c r="C162" s="305"/>
      <c r="D162" s="305"/>
      <c r="E162" s="314"/>
      <c r="F162" s="316"/>
      <c r="G162" s="320"/>
      <c r="H162"/>
      <c r="I162"/>
      <c r="J162" s="279"/>
      <c r="K162" s="279"/>
      <c r="L162" s="279"/>
      <c r="M162" s="279"/>
    </row>
    <row r="163" spans="1:13" x14ac:dyDescent="0.25">
      <c r="A163" s="279">
        <v>153</v>
      </c>
      <c r="B163" s="338">
        <v>43983</v>
      </c>
      <c r="C163" s="344" t="s">
        <v>3</v>
      </c>
      <c r="D163" s="344" t="s">
        <v>8</v>
      </c>
      <c r="E163" s="315"/>
      <c r="F163" s="315"/>
      <c r="G163" s="321"/>
      <c r="H163"/>
      <c r="I163"/>
      <c r="J163" s="279"/>
      <c r="K163" s="279"/>
      <c r="L163" s="279"/>
      <c r="M163" s="279"/>
    </row>
    <row r="164" spans="1:13" x14ac:dyDescent="0.25">
      <c r="A164" s="279">
        <v>154</v>
      </c>
      <c r="B164" s="335">
        <v>43984</v>
      </c>
      <c r="C164" s="343" t="s">
        <v>3</v>
      </c>
      <c r="D164" s="343" t="s">
        <v>2</v>
      </c>
      <c r="E164" s="313"/>
      <c r="F164" s="313"/>
      <c r="G164" s="319"/>
      <c r="H164"/>
      <c r="I164"/>
      <c r="J164" s="279"/>
      <c r="K164" s="279"/>
      <c r="L164" s="279"/>
      <c r="M164" s="279"/>
    </row>
    <row r="165" spans="1:13" x14ac:dyDescent="0.25">
      <c r="A165" s="279">
        <v>155</v>
      </c>
      <c r="B165" s="335">
        <v>43985</v>
      </c>
      <c r="C165" s="343" t="s">
        <v>3</v>
      </c>
      <c r="D165" s="343" t="s">
        <v>91</v>
      </c>
      <c r="E165" s="313"/>
      <c r="F165" s="313"/>
      <c r="G165" s="319"/>
      <c r="H165"/>
      <c r="I165"/>
      <c r="J165" s="279"/>
      <c r="K165" s="279"/>
      <c r="L165" s="279"/>
      <c r="M165" s="279"/>
    </row>
    <row r="166" spans="1:13" x14ac:dyDescent="0.25">
      <c r="A166" s="279">
        <v>156</v>
      </c>
      <c r="B166" s="335">
        <v>43986</v>
      </c>
      <c r="C166" s="343" t="s">
        <v>3</v>
      </c>
      <c r="D166" s="343" t="s">
        <v>6</v>
      </c>
      <c r="E166" s="313"/>
      <c r="F166" s="313"/>
      <c r="G166" s="319"/>
      <c r="H166"/>
      <c r="I166"/>
      <c r="J166" s="279"/>
      <c r="K166" s="279"/>
      <c r="L166" s="279"/>
      <c r="M166" s="279"/>
    </row>
    <row r="167" spans="1:13" ht="16.5" thickBot="1" x14ac:dyDescent="0.3">
      <c r="A167" s="279">
        <v>157</v>
      </c>
      <c r="B167" s="335">
        <v>43987</v>
      </c>
      <c r="C167" s="343" t="s">
        <v>3</v>
      </c>
      <c r="D167" s="343" t="s">
        <v>7</v>
      </c>
      <c r="E167" s="313"/>
      <c r="F167" s="313"/>
      <c r="G167" s="319"/>
      <c r="H167"/>
      <c r="I167"/>
      <c r="J167" s="279"/>
      <c r="K167" s="279"/>
      <c r="L167" s="279"/>
      <c r="M167" s="279"/>
    </row>
    <row r="168" spans="1:13" x14ac:dyDescent="0.25">
      <c r="A168" s="279">
        <v>158</v>
      </c>
      <c r="B168" s="336">
        <v>43988</v>
      </c>
      <c r="C168" s="296"/>
      <c r="D168" s="296"/>
      <c r="E168" s="346" t="s">
        <v>3</v>
      </c>
      <c r="F168" s="350" t="s">
        <v>5</v>
      </c>
      <c r="G168" s="353" t="s">
        <v>6</v>
      </c>
      <c r="H168"/>
      <c r="I168"/>
      <c r="J168" s="279"/>
      <c r="K168" s="279"/>
      <c r="L168" s="279"/>
      <c r="M168" s="279"/>
    </row>
    <row r="169" spans="1:13" ht="16.5" thickBot="1" x14ac:dyDescent="0.3">
      <c r="A169" s="279">
        <v>159</v>
      </c>
      <c r="B169" s="337">
        <v>43989</v>
      </c>
      <c r="C169" s="305"/>
      <c r="D169" s="305"/>
      <c r="E169" s="314"/>
      <c r="F169" s="316"/>
      <c r="G169" s="320"/>
      <c r="H169"/>
      <c r="I169"/>
      <c r="J169" s="279"/>
      <c r="K169" s="279"/>
      <c r="L169" s="279"/>
      <c r="M169" s="279"/>
    </row>
    <row r="170" spans="1:13" x14ac:dyDescent="0.25">
      <c r="A170" s="279">
        <v>160</v>
      </c>
      <c r="B170" s="338">
        <v>43990</v>
      </c>
      <c r="C170" s="344" t="s">
        <v>10</v>
      </c>
      <c r="D170" s="344" t="s">
        <v>4</v>
      </c>
      <c r="E170" s="315"/>
      <c r="F170" s="315"/>
      <c r="G170" s="321"/>
      <c r="H170"/>
      <c r="I170"/>
      <c r="J170" s="279"/>
      <c r="K170" s="279"/>
      <c r="L170" s="279"/>
      <c r="M170" s="279"/>
    </row>
    <row r="171" spans="1:13" x14ac:dyDescent="0.25">
      <c r="A171" s="279">
        <v>161</v>
      </c>
      <c r="B171" s="335">
        <v>43991</v>
      </c>
      <c r="C171" s="343" t="s">
        <v>10</v>
      </c>
      <c r="D171" s="343" t="s">
        <v>3</v>
      </c>
      <c r="E171" s="313"/>
      <c r="F171" s="313"/>
      <c r="G171" s="319"/>
      <c r="H171"/>
      <c r="I171"/>
      <c r="J171" s="279"/>
      <c r="K171" s="279"/>
      <c r="L171" s="279"/>
      <c r="M171" s="279"/>
    </row>
    <row r="172" spans="1:13" x14ac:dyDescent="0.25">
      <c r="A172" s="279">
        <v>162</v>
      </c>
      <c r="B172" s="335">
        <v>43992</v>
      </c>
      <c r="C172" s="343" t="s">
        <v>10</v>
      </c>
      <c r="D172" s="343" t="s">
        <v>5</v>
      </c>
      <c r="E172" s="313"/>
      <c r="F172" s="313"/>
      <c r="G172" s="319"/>
      <c r="H172"/>
      <c r="I172"/>
      <c r="J172" s="279"/>
      <c r="K172" s="279"/>
      <c r="L172" s="279"/>
      <c r="M172" s="279"/>
    </row>
    <row r="173" spans="1:13" x14ac:dyDescent="0.25">
      <c r="A173" s="279">
        <v>163</v>
      </c>
      <c r="B173" s="335">
        <v>43993</v>
      </c>
      <c r="C173" s="343" t="s">
        <v>10</v>
      </c>
      <c r="D173" s="343" t="s">
        <v>91</v>
      </c>
      <c r="E173" s="313"/>
      <c r="F173" s="313"/>
      <c r="G173" s="319"/>
      <c r="H173"/>
      <c r="I173"/>
      <c r="J173" s="279"/>
      <c r="K173" s="279"/>
      <c r="L173" s="279"/>
      <c r="M173" s="279"/>
    </row>
    <row r="174" spans="1:13" ht="16.5" thickBot="1" x14ac:dyDescent="0.3">
      <c r="A174" s="279">
        <v>164</v>
      </c>
      <c r="B174" s="335">
        <v>43994</v>
      </c>
      <c r="C174" s="343" t="s">
        <v>10</v>
      </c>
      <c r="D174" s="343" t="s">
        <v>147</v>
      </c>
      <c r="E174" s="313"/>
      <c r="F174" s="313"/>
      <c r="G174" s="319"/>
      <c r="H174"/>
      <c r="I174"/>
      <c r="J174" s="279"/>
      <c r="K174" s="279"/>
      <c r="L174" s="279"/>
      <c r="M174" s="279"/>
    </row>
    <row r="175" spans="1:13" x14ac:dyDescent="0.25">
      <c r="A175" s="279">
        <v>165</v>
      </c>
      <c r="B175" s="336">
        <v>43995</v>
      </c>
      <c r="C175" s="296"/>
      <c r="D175" s="296"/>
      <c r="E175" s="346" t="s">
        <v>10</v>
      </c>
      <c r="F175" s="350" t="s">
        <v>4</v>
      </c>
      <c r="G175" s="353" t="s">
        <v>91</v>
      </c>
      <c r="H175"/>
      <c r="I175"/>
      <c r="J175" s="279"/>
      <c r="K175" s="279"/>
      <c r="L175" s="279"/>
      <c r="M175" s="279"/>
    </row>
    <row r="176" spans="1:13" ht="16.5" thickBot="1" x14ac:dyDescent="0.3">
      <c r="A176" s="279">
        <v>166</v>
      </c>
      <c r="B176" s="337">
        <v>43996</v>
      </c>
      <c r="C176" s="305"/>
      <c r="D176" s="305"/>
      <c r="E176" s="314"/>
      <c r="F176" s="316"/>
      <c r="G176" s="320"/>
      <c r="H176"/>
      <c r="I176"/>
      <c r="J176" s="279"/>
      <c r="K176" s="279"/>
      <c r="L176" s="279"/>
      <c r="M176" s="279"/>
    </row>
    <row r="177" spans="1:13" x14ac:dyDescent="0.25">
      <c r="A177" s="279">
        <v>167</v>
      </c>
      <c r="B177" s="338">
        <v>43997</v>
      </c>
      <c r="C177" s="344" t="s">
        <v>147</v>
      </c>
      <c r="D177" s="344" t="s">
        <v>7</v>
      </c>
      <c r="E177" s="315"/>
      <c r="F177" s="315"/>
      <c r="G177" s="321"/>
      <c r="H177"/>
      <c r="I177"/>
      <c r="J177" s="279"/>
      <c r="K177" s="279"/>
      <c r="L177" s="279"/>
      <c r="M177" s="279"/>
    </row>
    <row r="178" spans="1:13" x14ac:dyDescent="0.25">
      <c r="A178" s="279">
        <v>168</v>
      </c>
      <c r="B178" s="335">
        <v>43998</v>
      </c>
      <c r="C178" s="343" t="s">
        <v>147</v>
      </c>
      <c r="D178" s="343" t="s">
        <v>8</v>
      </c>
      <c r="E178" s="313"/>
      <c r="F178" s="313"/>
      <c r="G178" s="319"/>
      <c r="H178"/>
      <c r="I178"/>
      <c r="J178" s="279"/>
      <c r="K178" s="279"/>
      <c r="L178" s="279"/>
      <c r="M178" s="279"/>
    </row>
    <row r="179" spans="1:13" x14ac:dyDescent="0.25">
      <c r="A179" s="279">
        <v>169</v>
      </c>
      <c r="B179" s="335">
        <v>43999</v>
      </c>
      <c r="C179" s="343" t="s">
        <v>147</v>
      </c>
      <c r="D179" s="343" t="s">
        <v>90</v>
      </c>
      <c r="E179" s="313"/>
      <c r="F179" s="313"/>
      <c r="G179" s="319"/>
      <c r="H179"/>
      <c r="I179"/>
      <c r="J179" s="279"/>
      <c r="K179" s="279"/>
      <c r="L179" s="279"/>
      <c r="M179" s="279"/>
    </row>
    <row r="180" spans="1:13" x14ac:dyDescent="0.25">
      <c r="A180" s="279">
        <v>170</v>
      </c>
      <c r="B180" s="335">
        <v>44000</v>
      </c>
      <c r="C180" s="343" t="s">
        <v>147</v>
      </c>
      <c r="D180" s="343" t="s">
        <v>3</v>
      </c>
      <c r="E180" s="313"/>
      <c r="F180" s="313"/>
      <c r="G180" s="319"/>
      <c r="H180"/>
      <c r="I180"/>
      <c r="J180" s="279"/>
      <c r="K180" s="279"/>
      <c r="L180" s="279"/>
      <c r="M180" s="279"/>
    </row>
    <row r="181" spans="1:13" ht="16.5" thickBot="1" x14ac:dyDescent="0.3">
      <c r="A181" s="279">
        <v>171</v>
      </c>
      <c r="B181" s="335">
        <v>44001</v>
      </c>
      <c r="C181" s="343" t="s">
        <v>147</v>
      </c>
      <c r="D181" s="343" t="s">
        <v>4</v>
      </c>
      <c r="E181" s="313"/>
      <c r="F181" s="313"/>
      <c r="G181" s="319"/>
      <c r="H181"/>
      <c r="I181"/>
      <c r="J181" s="279"/>
      <c r="K181" s="279"/>
      <c r="L181" s="279"/>
      <c r="M181" s="279"/>
    </row>
    <row r="182" spans="1:13" x14ac:dyDescent="0.25">
      <c r="A182" s="279">
        <v>172</v>
      </c>
      <c r="B182" s="336">
        <v>44002</v>
      </c>
      <c r="C182" s="296"/>
      <c r="D182" s="296"/>
      <c r="E182" s="346" t="s">
        <v>8</v>
      </c>
      <c r="F182" s="350" t="s">
        <v>3</v>
      </c>
      <c r="G182" s="353" t="s">
        <v>2</v>
      </c>
      <c r="H182"/>
      <c r="I182"/>
      <c r="J182" s="279"/>
      <c r="K182" s="279"/>
      <c r="L182" s="279"/>
      <c r="M182" s="279"/>
    </row>
    <row r="183" spans="1:13" ht="16.5" thickBot="1" x14ac:dyDescent="0.3">
      <c r="A183" s="279">
        <v>173</v>
      </c>
      <c r="B183" s="337">
        <v>44003</v>
      </c>
      <c r="C183" s="305"/>
      <c r="D183" s="305"/>
      <c r="E183" s="314"/>
      <c r="F183" s="316"/>
      <c r="G183" s="320"/>
      <c r="H183"/>
      <c r="I183"/>
      <c r="J183" s="279"/>
      <c r="K183" s="279"/>
      <c r="L183" s="279"/>
      <c r="M183" s="279"/>
    </row>
    <row r="184" spans="1:13" x14ac:dyDescent="0.25">
      <c r="A184" s="279">
        <v>174</v>
      </c>
      <c r="B184" s="338">
        <v>44004</v>
      </c>
      <c r="C184" s="344" t="s">
        <v>4</v>
      </c>
      <c r="D184" s="344" t="s">
        <v>2</v>
      </c>
      <c r="E184" s="315"/>
      <c r="F184" s="315"/>
      <c r="G184" s="321"/>
      <c r="H184"/>
      <c r="I184"/>
      <c r="J184" s="279"/>
      <c r="K184" s="279"/>
      <c r="L184" s="279"/>
      <c r="M184" s="279"/>
    </row>
    <row r="185" spans="1:13" x14ac:dyDescent="0.25">
      <c r="A185" s="279">
        <v>175</v>
      </c>
      <c r="B185" s="335">
        <v>44005</v>
      </c>
      <c r="C185" s="343" t="s">
        <v>4</v>
      </c>
      <c r="D185" s="343" t="s">
        <v>10</v>
      </c>
      <c r="E185" s="313"/>
      <c r="F185" s="313"/>
      <c r="G185" s="319"/>
      <c r="H185"/>
      <c r="I185"/>
      <c r="J185" s="279"/>
      <c r="K185" s="279"/>
      <c r="L185" s="279"/>
      <c r="M185" s="279"/>
    </row>
    <row r="186" spans="1:13" x14ac:dyDescent="0.25">
      <c r="A186" s="279">
        <v>176</v>
      </c>
      <c r="B186" s="335">
        <v>44006</v>
      </c>
      <c r="C186" s="343" t="s">
        <v>4</v>
      </c>
      <c r="D186" s="343" t="s">
        <v>6</v>
      </c>
      <c r="E186" s="313"/>
      <c r="F186" s="313"/>
      <c r="G186" s="319"/>
      <c r="H186"/>
      <c r="I186"/>
      <c r="J186" s="279"/>
      <c r="K186" s="279"/>
      <c r="L186" s="279"/>
      <c r="M186" s="279"/>
    </row>
    <row r="187" spans="1:13" x14ac:dyDescent="0.25">
      <c r="A187" s="279">
        <v>177</v>
      </c>
      <c r="B187" s="335">
        <v>44007</v>
      </c>
      <c r="C187" s="343" t="s">
        <v>4</v>
      </c>
      <c r="D187" s="343" t="s">
        <v>5</v>
      </c>
      <c r="E187" s="313"/>
      <c r="F187" s="313"/>
      <c r="G187" s="319"/>
      <c r="H187"/>
      <c r="I187"/>
      <c r="J187" s="279"/>
      <c r="K187" s="279"/>
      <c r="L187" s="279"/>
      <c r="M187" s="279"/>
    </row>
    <row r="188" spans="1:13" ht="16.5" thickBot="1" x14ac:dyDescent="0.3">
      <c r="A188" s="279">
        <v>178</v>
      </c>
      <c r="B188" s="335">
        <v>44008</v>
      </c>
      <c r="C188" s="343" t="s">
        <v>4</v>
      </c>
      <c r="D188" s="343" t="s">
        <v>91</v>
      </c>
      <c r="E188" s="313"/>
      <c r="F188" s="313"/>
      <c r="G188" s="319"/>
      <c r="H188"/>
      <c r="I188"/>
      <c r="J188" s="279"/>
      <c r="K188" s="279"/>
      <c r="L188" s="279"/>
      <c r="M188" s="279"/>
    </row>
    <row r="189" spans="1:13" x14ac:dyDescent="0.25">
      <c r="A189" s="279">
        <v>179</v>
      </c>
      <c r="B189" s="336">
        <v>44009</v>
      </c>
      <c r="C189" s="296"/>
      <c r="D189" s="296"/>
      <c r="E189" s="346" t="s">
        <v>4</v>
      </c>
      <c r="F189" s="350" t="s">
        <v>10</v>
      </c>
      <c r="G189" s="353" t="s">
        <v>5</v>
      </c>
      <c r="H189"/>
      <c r="I189"/>
      <c r="J189" s="279"/>
      <c r="K189" s="279"/>
      <c r="L189" s="279"/>
      <c r="M189" s="279"/>
    </row>
    <row r="190" spans="1:13" ht="16.5" thickBot="1" x14ac:dyDescent="0.3">
      <c r="A190" s="279">
        <v>180</v>
      </c>
      <c r="B190" s="337">
        <v>44010</v>
      </c>
      <c r="C190" s="305"/>
      <c r="D190" s="305"/>
      <c r="E190" s="314"/>
      <c r="F190" s="316"/>
      <c r="G190" s="320"/>
      <c r="H190"/>
      <c r="I190"/>
      <c r="J190" s="279"/>
      <c r="K190" s="279"/>
      <c r="L190" s="279"/>
      <c r="M190" s="279"/>
    </row>
    <row r="191" spans="1:13" x14ac:dyDescent="0.25">
      <c r="A191" s="279">
        <v>181</v>
      </c>
      <c r="B191" s="338">
        <v>44011</v>
      </c>
      <c r="C191" s="344" t="s">
        <v>2</v>
      </c>
      <c r="D191" s="344" t="s">
        <v>147</v>
      </c>
      <c r="E191" s="315"/>
      <c r="F191" s="315"/>
      <c r="G191" s="321"/>
      <c r="H191"/>
      <c r="I191"/>
      <c r="J191" s="279"/>
      <c r="K191" s="279"/>
      <c r="L191" s="279"/>
      <c r="M191" s="279"/>
    </row>
    <row r="192" spans="1:13" x14ac:dyDescent="0.25">
      <c r="A192" s="279">
        <v>182</v>
      </c>
      <c r="B192" s="335">
        <v>44012</v>
      </c>
      <c r="C192" s="343" t="s">
        <v>2</v>
      </c>
      <c r="D192" s="343" t="s">
        <v>7</v>
      </c>
      <c r="E192" s="313"/>
      <c r="F192" s="313"/>
      <c r="G192" s="319"/>
      <c r="H192"/>
      <c r="I192"/>
      <c r="J192" s="279"/>
      <c r="K192" s="279"/>
      <c r="L192" s="279"/>
      <c r="M192" s="279"/>
    </row>
    <row r="193" spans="1:13" x14ac:dyDescent="0.25">
      <c r="A193" s="279">
        <v>183</v>
      </c>
      <c r="B193" s="335">
        <v>44013</v>
      </c>
      <c r="C193" s="313"/>
      <c r="D193" s="343" t="s">
        <v>8</v>
      </c>
      <c r="E193" s="313"/>
      <c r="F193" s="313"/>
      <c r="G193" s="319"/>
      <c r="H193"/>
      <c r="I193"/>
      <c r="J193" s="279"/>
      <c r="K193" s="279"/>
      <c r="L193" s="279"/>
      <c r="M193" s="279"/>
    </row>
    <row r="194" spans="1:13" x14ac:dyDescent="0.25">
      <c r="A194" s="279">
        <v>184</v>
      </c>
      <c r="B194" s="335">
        <v>44014</v>
      </c>
      <c r="C194" s="313"/>
      <c r="D194" s="343" t="s">
        <v>90</v>
      </c>
      <c r="E194" s="313"/>
      <c r="F194" s="313"/>
      <c r="G194" s="319"/>
      <c r="H194"/>
      <c r="I194"/>
      <c r="J194" s="279"/>
      <c r="K194" s="279"/>
      <c r="L194" s="279"/>
      <c r="M194" s="279"/>
    </row>
    <row r="195" spans="1:13" ht="16.5" thickBot="1" x14ac:dyDescent="0.3">
      <c r="A195" s="279">
        <v>185</v>
      </c>
      <c r="B195" s="335">
        <v>44015</v>
      </c>
      <c r="C195" s="313"/>
      <c r="D195" s="343" t="s">
        <v>3</v>
      </c>
      <c r="E195" s="313"/>
      <c r="F195" s="313"/>
      <c r="G195" s="319"/>
      <c r="H195"/>
      <c r="I195"/>
      <c r="J195" s="279"/>
      <c r="K195" s="279"/>
      <c r="L195" s="279"/>
      <c r="M195" s="279"/>
    </row>
    <row r="196" spans="1:13" x14ac:dyDescent="0.25">
      <c r="A196" s="279">
        <v>186</v>
      </c>
      <c r="B196" s="336">
        <v>44016</v>
      </c>
      <c r="C196" s="296"/>
      <c r="D196" s="296"/>
      <c r="E196" s="346" t="s">
        <v>91</v>
      </c>
      <c r="F196" s="350" t="s">
        <v>147</v>
      </c>
      <c r="G196" s="353" t="s">
        <v>3</v>
      </c>
      <c r="H196"/>
      <c r="I196"/>
      <c r="J196" s="279"/>
      <c r="K196" s="279"/>
      <c r="L196" s="279"/>
      <c r="M196" s="279"/>
    </row>
    <row r="197" spans="1:13" ht="16.5" thickBot="1" x14ac:dyDescent="0.3">
      <c r="A197" s="279">
        <v>187</v>
      </c>
      <c r="B197" s="340">
        <v>44017</v>
      </c>
      <c r="C197" s="311"/>
      <c r="D197" s="311"/>
      <c r="E197" s="329"/>
      <c r="F197" s="330"/>
      <c r="G197" s="332"/>
      <c r="H197"/>
      <c r="I197"/>
      <c r="J197" s="279"/>
      <c r="K197" s="279"/>
      <c r="L197" s="279"/>
      <c r="M197" s="279"/>
    </row>
    <row r="198" spans="1:13" x14ac:dyDescent="0.25">
      <c r="A198" s="279">
        <v>188</v>
      </c>
      <c r="B198" s="333">
        <v>44018</v>
      </c>
      <c r="C198" s="301"/>
      <c r="D198" s="301"/>
      <c r="E198" s="348" t="s">
        <v>91</v>
      </c>
      <c r="F198" s="301"/>
      <c r="G198" s="331"/>
      <c r="H198"/>
      <c r="I198"/>
      <c r="J198" s="279"/>
      <c r="K198" s="279"/>
      <c r="L198" s="279"/>
      <c r="M198" s="279"/>
    </row>
    <row r="199" spans="1:13" x14ac:dyDescent="0.25">
      <c r="A199" s="279">
        <v>189</v>
      </c>
      <c r="B199" s="335">
        <v>44019</v>
      </c>
      <c r="C199" s="313"/>
      <c r="D199" s="343" t="s">
        <v>4</v>
      </c>
      <c r="E199" s="313"/>
      <c r="F199" s="313"/>
      <c r="G199" s="319"/>
      <c r="H199"/>
      <c r="I199"/>
      <c r="J199" s="279"/>
      <c r="K199" s="279"/>
      <c r="L199" s="279"/>
      <c r="M199" s="279"/>
    </row>
    <row r="200" spans="1:13" x14ac:dyDescent="0.25">
      <c r="A200" s="279">
        <v>190</v>
      </c>
      <c r="B200" s="335">
        <v>44020</v>
      </c>
      <c r="C200" s="313"/>
      <c r="D200" s="343" t="s">
        <v>2</v>
      </c>
      <c r="E200" s="313"/>
      <c r="F200" s="313"/>
      <c r="G200" s="319"/>
      <c r="H200"/>
      <c r="I200"/>
      <c r="J200" s="279"/>
      <c r="K200" s="279"/>
      <c r="L200" s="279"/>
      <c r="M200" s="279"/>
    </row>
    <row r="201" spans="1:13" x14ac:dyDescent="0.25">
      <c r="A201" s="279">
        <v>191</v>
      </c>
      <c r="B201" s="335">
        <v>44021</v>
      </c>
      <c r="C201" s="313"/>
      <c r="D201" s="343" t="s">
        <v>10</v>
      </c>
      <c r="E201" s="313"/>
      <c r="F201" s="313"/>
      <c r="G201" s="319"/>
      <c r="H201"/>
      <c r="I201"/>
      <c r="J201" s="279"/>
      <c r="K201" s="279"/>
      <c r="L201" s="279"/>
      <c r="M201" s="279"/>
    </row>
    <row r="202" spans="1:13" ht="16.5" thickBot="1" x14ac:dyDescent="0.3">
      <c r="A202" s="279">
        <v>192</v>
      </c>
      <c r="B202" s="335">
        <v>44022</v>
      </c>
      <c r="C202" s="313"/>
      <c r="D202" s="343" t="s">
        <v>6</v>
      </c>
      <c r="E202" s="313"/>
      <c r="F202" s="313"/>
      <c r="G202" s="319"/>
      <c r="H202"/>
      <c r="I202"/>
      <c r="J202" s="279"/>
      <c r="K202" s="279"/>
      <c r="L202" s="279"/>
      <c r="M202" s="279"/>
    </row>
    <row r="203" spans="1:13" x14ac:dyDescent="0.25">
      <c r="A203" s="279">
        <v>193</v>
      </c>
      <c r="B203" s="336">
        <v>44023</v>
      </c>
      <c r="C203" s="296"/>
      <c r="D203" s="296"/>
      <c r="E203" s="346" t="s">
        <v>10</v>
      </c>
      <c r="F203" s="350" t="s">
        <v>91</v>
      </c>
      <c r="G203" s="353" t="s">
        <v>2</v>
      </c>
      <c r="H203"/>
      <c r="I203"/>
      <c r="J203" s="279"/>
      <c r="K203" s="279"/>
      <c r="L203" s="279"/>
      <c r="M203" s="279"/>
    </row>
    <row r="204" spans="1:13" ht="16.5" thickBot="1" x14ac:dyDescent="0.3">
      <c r="A204" s="279">
        <v>194</v>
      </c>
      <c r="B204" s="337">
        <v>44024</v>
      </c>
      <c r="C204" s="305"/>
      <c r="D204" s="305"/>
      <c r="E204" s="314"/>
      <c r="F204" s="316"/>
      <c r="G204" s="320"/>
      <c r="H204"/>
      <c r="I204"/>
      <c r="J204" s="279"/>
      <c r="K204" s="279"/>
      <c r="L204" s="279"/>
      <c r="M204" s="279"/>
    </row>
    <row r="205" spans="1:13" x14ac:dyDescent="0.25">
      <c r="A205" s="279">
        <v>195</v>
      </c>
      <c r="B205" s="338">
        <v>44025</v>
      </c>
      <c r="C205" s="315"/>
      <c r="D205" s="344" t="s">
        <v>5</v>
      </c>
      <c r="E205" s="315"/>
      <c r="F205" s="315"/>
      <c r="G205" s="321"/>
      <c r="H205"/>
      <c r="I205"/>
      <c r="J205" s="279"/>
      <c r="K205" s="279"/>
      <c r="L205" s="279"/>
      <c r="M205" s="279"/>
    </row>
    <row r="206" spans="1:13" x14ac:dyDescent="0.25">
      <c r="A206" s="279">
        <v>196</v>
      </c>
      <c r="B206" s="335">
        <v>44026</v>
      </c>
      <c r="C206" s="313"/>
      <c r="D206" s="343" t="s">
        <v>91</v>
      </c>
      <c r="E206" s="313"/>
      <c r="F206" s="313"/>
      <c r="G206" s="319"/>
      <c r="H206"/>
      <c r="I206"/>
      <c r="J206" s="279"/>
      <c r="K206" s="279"/>
      <c r="L206" s="279"/>
      <c r="M206" s="279"/>
    </row>
    <row r="207" spans="1:13" x14ac:dyDescent="0.25">
      <c r="A207" s="279">
        <v>197</v>
      </c>
      <c r="B207" s="335">
        <v>44027</v>
      </c>
      <c r="C207" s="313"/>
      <c r="D207" s="343" t="s">
        <v>147</v>
      </c>
      <c r="E207" s="313"/>
      <c r="F207" s="313"/>
      <c r="G207" s="319"/>
      <c r="H207"/>
      <c r="I207"/>
      <c r="J207" s="279"/>
      <c r="K207" s="279"/>
      <c r="L207" s="279"/>
      <c r="M207" s="279"/>
    </row>
    <row r="208" spans="1:13" x14ac:dyDescent="0.25">
      <c r="A208" s="279">
        <v>198</v>
      </c>
      <c r="B208" s="335">
        <v>44028</v>
      </c>
      <c r="C208" s="313"/>
      <c r="D208" s="343" t="s">
        <v>7</v>
      </c>
      <c r="E208" s="313"/>
      <c r="F208" s="313"/>
      <c r="G208" s="319"/>
      <c r="H208"/>
      <c r="I208"/>
      <c r="J208" s="279"/>
      <c r="K208" s="279"/>
      <c r="L208" s="279"/>
      <c r="M208" s="279"/>
    </row>
    <row r="209" spans="1:13" ht="16.5" thickBot="1" x14ac:dyDescent="0.3">
      <c r="A209" s="279">
        <v>199</v>
      </c>
      <c r="B209" s="335">
        <v>44029</v>
      </c>
      <c r="C209" s="313"/>
      <c r="D209" s="343" t="s">
        <v>8</v>
      </c>
      <c r="E209" s="313"/>
      <c r="F209" s="313"/>
      <c r="G209" s="319"/>
      <c r="H209"/>
      <c r="I209"/>
      <c r="J209" s="279"/>
      <c r="K209" s="279"/>
      <c r="L209" s="279"/>
      <c r="M209" s="279"/>
    </row>
    <row r="210" spans="1:13" x14ac:dyDescent="0.25">
      <c r="A210" s="279">
        <v>200</v>
      </c>
      <c r="B210" s="336">
        <v>44030</v>
      </c>
      <c r="C210" s="296"/>
      <c r="D210" s="296"/>
      <c r="E210" s="346" t="s">
        <v>6</v>
      </c>
      <c r="F210" s="350" t="s">
        <v>10</v>
      </c>
      <c r="G210" s="353" t="s">
        <v>8</v>
      </c>
      <c r="H210"/>
      <c r="I210"/>
      <c r="J210" s="279"/>
      <c r="K210" s="279"/>
      <c r="L210" s="279"/>
      <c r="M210" s="279"/>
    </row>
    <row r="211" spans="1:13" ht="16.5" thickBot="1" x14ac:dyDescent="0.3">
      <c r="A211" s="279">
        <v>201</v>
      </c>
      <c r="B211" s="337">
        <v>44031</v>
      </c>
      <c r="C211" s="305"/>
      <c r="D211" s="305"/>
      <c r="E211" s="314"/>
      <c r="F211" s="316"/>
      <c r="G211" s="320"/>
      <c r="H211"/>
      <c r="I211"/>
      <c r="J211" s="279"/>
      <c r="K211" s="279"/>
      <c r="L211" s="279"/>
      <c r="M211" s="279"/>
    </row>
    <row r="212" spans="1:13" x14ac:dyDescent="0.25">
      <c r="A212" s="279">
        <v>202</v>
      </c>
      <c r="B212" s="338">
        <v>44032</v>
      </c>
      <c r="C212" s="315"/>
      <c r="D212" s="344" t="s">
        <v>90</v>
      </c>
      <c r="E212" s="315"/>
      <c r="F212" s="315"/>
      <c r="G212" s="321"/>
      <c r="H212"/>
      <c r="I212"/>
      <c r="J212" s="279"/>
      <c r="K212" s="279"/>
      <c r="L212" s="279"/>
      <c r="M212" s="279"/>
    </row>
    <row r="213" spans="1:13" x14ac:dyDescent="0.25">
      <c r="A213" s="279">
        <v>203</v>
      </c>
      <c r="B213" s="335">
        <v>44033</v>
      </c>
      <c r="C213" s="313"/>
      <c r="D213" s="343" t="s">
        <v>3</v>
      </c>
      <c r="E213" s="313"/>
      <c r="F213" s="313"/>
      <c r="G213" s="319"/>
      <c r="H213"/>
      <c r="I213"/>
      <c r="J213" s="279"/>
      <c r="K213" s="279"/>
      <c r="L213" s="279"/>
      <c r="M213" s="279"/>
    </row>
    <row r="214" spans="1:13" x14ac:dyDescent="0.25">
      <c r="A214" s="279">
        <v>204</v>
      </c>
      <c r="B214" s="335">
        <v>44034</v>
      </c>
      <c r="C214" s="313"/>
      <c r="D214" s="343" t="s">
        <v>4</v>
      </c>
      <c r="E214" s="313"/>
      <c r="F214" s="313"/>
      <c r="G214" s="319"/>
      <c r="H214"/>
      <c r="I214"/>
      <c r="J214" s="279"/>
      <c r="K214" s="279"/>
      <c r="L214" s="279"/>
      <c r="M214" s="279"/>
    </row>
    <row r="215" spans="1:13" x14ac:dyDescent="0.25">
      <c r="A215" s="279">
        <v>205</v>
      </c>
      <c r="B215" s="335">
        <v>44035</v>
      </c>
      <c r="C215" s="313"/>
      <c r="D215" s="343" t="s">
        <v>2</v>
      </c>
      <c r="E215" s="313"/>
      <c r="F215" s="313"/>
      <c r="G215" s="319"/>
      <c r="H215"/>
      <c r="I215"/>
      <c r="J215" s="279"/>
      <c r="K215" s="279"/>
      <c r="L215" s="279"/>
      <c r="M215" s="279"/>
    </row>
    <row r="216" spans="1:13" ht="16.5" thickBot="1" x14ac:dyDescent="0.3">
      <c r="A216" s="279">
        <v>206</v>
      </c>
      <c r="B216" s="335">
        <v>44036</v>
      </c>
      <c r="C216" s="313"/>
      <c r="D216" s="343" t="s">
        <v>10</v>
      </c>
      <c r="E216" s="313"/>
      <c r="F216" s="313"/>
      <c r="G216" s="319"/>
      <c r="H216"/>
      <c r="I216"/>
      <c r="J216" s="279"/>
      <c r="K216" s="279"/>
      <c r="L216" s="279"/>
      <c r="M216" s="279"/>
    </row>
    <row r="217" spans="1:13" x14ac:dyDescent="0.25">
      <c r="A217" s="279">
        <v>207</v>
      </c>
      <c r="B217" s="336">
        <v>44037</v>
      </c>
      <c r="C217" s="296"/>
      <c r="D217" s="296"/>
      <c r="E217" s="346" t="s">
        <v>3</v>
      </c>
      <c r="F217" s="350" t="s">
        <v>90</v>
      </c>
      <c r="G217" s="353" t="s">
        <v>4</v>
      </c>
      <c r="H217"/>
      <c r="I217"/>
      <c r="J217" s="279"/>
      <c r="K217" s="279"/>
      <c r="L217" s="279"/>
      <c r="M217" s="279"/>
    </row>
    <row r="218" spans="1:13" ht="16.5" thickBot="1" x14ac:dyDescent="0.3">
      <c r="A218" s="279">
        <v>208</v>
      </c>
      <c r="B218" s="337">
        <v>44038</v>
      </c>
      <c r="C218" s="305"/>
      <c r="D218" s="305"/>
      <c r="E218" s="314"/>
      <c r="F218" s="316"/>
      <c r="G218" s="320"/>
      <c r="H218"/>
      <c r="I218"/>
      <c r="J218" s="279"/>
      <c r="K218" s="279"/>
      <c r="L218" s="279"/>
      <c r="M218" s="279"/>
    </row>
    <row r="219" spans="1:13" x14ac:dyDescent="0.25">
      <c r="A219" s="279">
        <v>209</v>
      </c>
      <c r="B219" s="338">
        <v>44039</v>
      </c>
      <c r="C219" s="315"/>
      <c r="D219" s="344" t="s">
        <v>6</v>
      </c>
      <c r="E219" s="315"/>
      <c r="F219" s="315"/>
      <c r="G219" s="321"/>
      <c r="H219"/>
      <c r="I219"/>
      <c r="J219" s="279"/>
      <c r="K219" s="279"/>
      <c r="L219" s="279"/>
      <c r="M219" s="279"/>
    </row>
    <row r="220" spans="1:13" x14ac:dyDescent="0.25">
      <c r="A220" s="279">
        <v>210</v>
      </c>
      <c r="B220" s="335">
        <v>44040</v>
      </c>
      <c r="C220" s="313"/>
      <c r="D220" s="343" t="s">
        <v>5</v>
      </c>
      <c r="E220" s="313"/>
      <c r="F220" s="313"/>
      <c r="G220" s="319"/>
      <c r="H220"/>
      <c r="I220"/>
      <c r="J220" s="279"/>
      <c r="K220" s="279"/>
      <c r="L220" s="279"/>
      <c r="M220" s="279"/>
    </row>
    <row r="221" spans="1:13" x14ac:dyDescent="0.25">
      <c r="A221" s="279">
        <v>211</v>
      </c>
      <c r="B221" s="335">
        <v>44041</v>
      </c>
      <c r="C221" s="313"/>
      <c r="D221" s="343" t="s">
        <v>91</v>
      </c>
      <c r="E221" s="313"/>
      <c r="F221" s="313"/>
      <c r="G221" s="319"/>
      <c r="H221"/>
      <c r="I221"/>
      <c r="J221" s="279"/>
      <c r="K221" s="279"/>
      <c r="L221" s="279"/>
      <c r="M221" s="279"/>
    </row>
    <row r="222" spans="1:13" x14ac:dyDescent="0.25">
      <c r="A222" s="279">
        <v>212</v>
      </c>
      <c r="B222" s="335">
        <v>44042</v>
      </c>
      <c r="C222" s="313"/>
      <c r="D222" s="343" t="s">
        <v>147</v>
      </c>
      <c r="E222" s="313"/>
      <c r="F222" s="313"/>
      <c r="G222" s="319"/>
      <c r="H222"/>
      <c r="I222"/>
      <c r="J222" s="279"/>
      <c r="K222" s="279"/>
      <c r="L222" s="279"/>
      <c r="M222" s="279"/>
    </row>
    <row r="223" spans="1:13" ht="16.5" thickBot="1" x14ac:dyDescent="0.3">
      <c r="A223" s="279">
        <v>213</v>
      </c>
      <c r="B223" s="335">
        <v>44043</v>
      </c>
      <c r="C223" s="313"/>
      <c r="D223" s="343" t="s">
        <v>7</v>
      </c>
      <c r="E223" s="313"/>
      <c r="F223" s="313"/>
      <c r="G223" s="319"/>
      <c r="H223"/>
      <c r="I223"/>
      <c r="J223" s="279"/>
      <c r="K223" s="279"/>
      <c r="L223" s="279"/>
      <c r="M223" s="279"/>
    </row>
    <row r="224" spans="1:13" x14ac:dyDescent="0.25">
      <c r="A224" s="279">
        <v>214</v>
      </c>
      <c r="B224" s="336">
        <v>44044</v>
      </c>
      <c r="C224" s="296"/>
      <c r="D224" s="296"/>
      <c r="E224" s="346" t="s">
        <v>90</v>
      </c>
      <c r="F224" s="350" t="s">
        <v>3</v>
      </c>
      <c r="G224" s="353" t="s">
        <v>7</v>
      </c>
      <c r="H224"/>
      <c r="I224"/>
      <c r="J224" s="279"/>
      <c r="K224" s="279"/>
      <c r="L224" s="279"/>
      <c r="M224" s="279"/>
    </row>
    <row r="225" spans="1:13" ht="16.5" thickBot="1" x14ac:dyDescent="0.3">
      <c r="A225" s="279">
        <v>215</v>
      </c>
      <c r="B225" s="337">
        <v>44045</v>
      </c>
      <c r="C225" s="305"/>
      <c r="D225" s="305"/>
      <c r="E225" s="314"/>
      <c r="F225" s="316"/>
      <c r="G225" s="320"/>
      <c r="H225"/>
      <c r="I225"/>
      <c r="J225" s="279"/>
      <c r="K225" s="279"/>
      <c r="L225" s="279"/>
      <c r="M225" s="279"/>
    </row>
    <row r="226" spans="1:13" x14ac:dyDescent="0.25">
      <c r="A226" s="279">
        <v>216</v>
      </c>
      <c r="B226" s="338">
        <v>44046</v>
      </c>
      <c r="C226" s="315"/>
      <c r="D226" s="344" t="s">
        <v>8</v>
      </c>
      <c r="E226" s="315"/>
      <c r="F226" s="315"/>
      <c r="G226" s="321"/>
      <c r="H226"/>
      <c r="I226"/>
      <c r="J226" s="279"/>
      <c r="K226" s="279"/>
      <c r="L226" s="279"/>
      <c r="M226" s="279"/>
    </row>
    <row r="227" spans="1:13" x14ac:dyDescent="0.25">
      <c r="A227" s="279">
        <v>217</v>
      </c>
      <c r="B227" s="335">
        <v>44047</v>
      </c>
      <c r="C227" s="313"/>
      <c r="D227" s="343" t="s">
        <v>90</v>
      </c>
      <c r="E227" s="313"/>
      <c r="F227" s="313"/>
      <c r="G227" s="319"/>
      <c r="H227"/>
      <c r="I227"/>
      <c r="J227" s="279"/>
      <c r="K227" s="279"/>
      <c r="L227" s="279"/>
      <c r="M227" s="279"/>
    </row>
    <row r="228" spans="1:13" x14ac:dyDescent="0.25">
      <c r="A228" s="279">
        <v>218</v>
      </c>
      <c r="B228" s="335">
        <v>44048</v>
      </c>
      <c r="C228" s="313"/>
      <c r="D228" s="343" t="s">
        <v>3</v>
      </c>
      <c r="E228" s="313"/>
      <c r="F228" s="313"/>
      <c r="G228" s="319"/>
      <c r="H228"/>
      <c r="I228"/>
      <c r="J228" s="279"/>
      <c r="K228" s="279"/>
      <c r="L228" s="279"/>
      <c r="M228" s="279"/>
    </row>
    <row r="229" spans="1:13" x14ac:dyDescent="0.25">
      <c r="A229" s="279">
        <v>219</v>
      </c>
      <c r="B229" s="335">
        <v>44049</v>
      </c>
      <c r="C229" s="313"/>
      <c r="D229" s="343" t="s">
        <v>4</v>
      </c>
      <c r="E229" s="313"/>
      <c r="F229" s="313"/>
      <c r="G229" s="319"/>
      <c r="H229"/>
      <c r="I229"/>
      <c r="J229" s="279"/>
      <c r="K229" s="279"/>
      <c r="L229" s="279"/>
      <c r="M229" s="279"/>
    </row>
    <row r="230" spans="1:13" ht="16.5" thickBot="1" x14ac:dyDescent="0.3">
      <c r="A230" s="279">
        <v>220</v>
      </c>
      <c r="B230" s="335">
        <v>44050</v>
      </c>
      <c r="C230" s="313"/>
      <c r="D230" s="343" t="s">
        <v>2</v>
      </c>
      <c r="E230" s="313"/>
      <c r="F230" s="313"/>
      <c r="G230" s="319"/>
      <c r="H230"/>
      <c r="I230"/>
      <c r="J230" s="279"/>
      <c r="K230" s="279"/>
      <c r="L230" s="279"/>
      <c r="M230" s="279"/>
    </row>
    <row r="231" spans="1:13" x14ac:dyDescent="0.25">
      <c r="A231" s="279">
        <v>221</v>
      </c>
      <c r="B231" s="336">
        <v>44051</v>
      </c>
      <c r="C231" s="296"/>
      <c r="D231" s="296"/>
      <c r="E231" s="346" t="s">
        <v>7</v>
      </c>
      <c r="F231" s="350" t="s">
        <v>5</v>
      </c>
      <c r="G231" s="353" t="s">
        <v>6</v>
      </c>
      <c r="H231"/>
      <c r="I231"/>
      <c r="J231" s="279"/>
      <c r="K231" s="279"/>
      <c r="L231" s="279"/>
      <c r="M231" s="279"/>
    </row>
    <row r="232" spans="1:13" ht="16.5" thickBot="1" x14ac:dyDescent="0.3">
      <c r="A232" s="279">
        <v>222</v>
      </c>
      <c r="B232" s="337">
        <v>44052</v>
      </c>
      <c r="C232" s="305"/>
      <c r="D232" s="305"/>
      <c r="E232" s="314"/>
      <c r="F232" s="316"/>
      <c r="G232" s="320"/>
      <c r="H232"/>
      <c r="I232"/>
      <c r="J232" s="279"/>
      <c r="K232" s="279"/>
      <c r="L232" s="279"/>
      <c r="M232" s="279"/>
    </row>
    <row r="233" spans="1:13" x14ac:dyDescent="0.25">
      <c r="A233" s="279">
        <v>223</v>
      </c>
      <c r="B233" s="338">
        <v>44053</v>
      </c>
      <c r="C233" s="315"/>
      <c r="D233" s="344" t="s">
        <v>10</v>
      </c>
      <c r="E233" s="315"/>
      <c r="F233" s="315"/>
      <c r="G233" s="321"/>
      <c r="H233"/>
      <c r="I233"/>
      <c r="J233" s="279"/>
      <c r="K233" s="279"/>
      <c r="L233" s="279"/>
      <c r="M233" s="279"/>
    </row>
    <row r="234" spans="1:13" x14ac:dyDescent="0.25">
      <c r="A234" s="279">
        <v>224</v>
      </c>
      <c r="B234" s="335">
        <v>44054</v>
      </c>
      <c r="C234" s="313"/>
      <c r="D234" s="343" t="s">
        <v>6</v>
      </c>
      <c r="E234" s="313"/>
      <c r="F234" s="313"/>
      <c r="G234" s="319"/>
      <c r="H234"/>
      <c r="I234"/>
      <c r="J234" s="279"/>
      <c r="K234" s="279"/>
      <c r="L234" s="279"/>
      <c r="M234" s="279"/>
    </row>
    <row r="235" spans="1:13" x14ac:dyDescent="0.25">
      <c r="A235" s="279">
        <v>225</v>
      </c>
      <c r="B235" s="335">
        <v>44055</v>
      </c>
      <c r="C235" s="313"/>
      <c r="D235" s="343" t="s">
        <v>5</v>
      </c>
      <c r="E235" s="313"/>
      <c r="F235" s="313"/>
      <c r="G235" s="319"/>
      <c r="H235"/>
      <c r="I235"/>
      <c r="J235" s="279"/>
      <c r="K235" s="279"/>
      <c r="L235" s="279"/>
      <c r="M235" s="279"/>
    </row>
    <row r="236" spans="1:13" x14ac:dyDescent="0.25">
      <c r="A236" s="279">
        <v>226</v>
      </c>
      <c r="B236" s="335">
        <v>44056</v>
      </c>
      <c r="C236" s="313"/>
      <c r="D236" s="343" t="s">
        <v>91</v>
      </c>
      <c r="E236" s="313"/>
      <c r="F236" s="313"/>
      <c r="G236" s="319"/>
      <c r="H236"/>
      <c r="I236"/>
      <c r="J236" s="279"/>
      <c r="K236" s="279"/>
      <c r="L236" s="279"/>
      <c r="M236" s="279"/>
    </row>
    <row r="237" spans="1:13" ht="16.5" thickBot="1" x14ac:dyDescent="0.3">
      <c r="A237" s="279">
        <v>227</v>
      </c>
      <c r="B237" s="335">
        <v>44057</v>
      </c>
      <c r="C237" s="313"/>
      <c r="D237" s="343" t="s">
        <v>147</v>
      </c>
      <c r="E237" s="313"/>
      <c r="F237" s="313"/>
      <c r="G237" s="319"/>
      <c r="H237"/>
      <c r="I237"/>
      <c r="J237" s="279"/>
      <c r="K237" s="279"/>
      <c r="L237" s="279"/>
      <c r="M237" s="279"/>
    </row>
    <row r="238" spans="1:13" x14ac:dyDescent="0.25">
      <c r="A238" s="279">
        <v>228</v>
      </c>
      <c r="B238" s="336">
        <v>44058</v>
      </c>
      <c r="C238" s="296"/>
      <c r="D238" s="296"/>
      <c r="E238" s="346" t="s">
        <v>2</v>
      </c>
      <c r="F238" s="350" t="s">
        <v>4</v>
      </c>
      <c r="G238" s="353" t="s">
        <v>91</v>
      </c>
      <c r="H238"/>
      <c r="I238"/>
      <c r="J238" s="279"/>
      <c r="K238" s="279"/>
      <c r="L238" s="279"/>
      <c r="M238" s="279"/>
    </row>
    <row r="239" spans="1:13" ht="16.5" thickBot="1" x14ac:dyDescent="0.3">
      <c r="A239" s="279">
        <v>229</v>
      </c>
      <c r="B239" s="337">
        <v>44059</v>
      </c>
      <c r="C239" s="305"/>
      <c r="D239" s="305"/>
      <c r="E239" s="314"/>
      <c r="F239" s="316"/>
      <c r="G239" s="320"/>
      <c r="H239"/>
      <c r="I239"/>
      <c r="J239" s="279"/>
      <c r="K239" s="279"/>
      <c r="L239" s="279"/>
      <c r="M239" s="279"/>
    </row>
    <row r="240" spans="1:13" x14ac:dyDescent="0.25">
      <c r="A240" s="279">
        <v>230</v>
      </c>
      <c r="B240" s="338">
        <v>44060</v>
      </c>
      <c r="C240" s="315"/>
      <c r="D240" s="344" t="s">
        <v>7</v>
      </c>
      <c r="E240" s="315"/>
      <c r="F240" s="315"/>
      <c r="G240" s="321"/>
      <c r="H240"/>
      <c r="I240"/>
      <c r="J240" s="279"/>
      <c r="K240" s="279"/>
      <c r="L240" s="279"/>
      <c r="M240" s="279"/>
    </row>
    <row r="241" spans="1:13" x14ac:dyDescent="0.25">
      <c r="A241" s="279">
        <v>231</v>
      </c>
      <c r="B241" s="335">
        <v>44061</v>
      </c>
      <c r="C241" s="313"/>
      <c r="D241" s="343" t="s">
        <v>8</v>
      </c>
      <c r="E241" s="313"/>
      <c r="F241" s="313"/>
      <c r="G241" s="319"/>
      <c r="H241"/>
      <c r="I241"/>
      <c r="J241" s="279"/>
      <c r="K241" s="279"/>
      <c r="L241" s="279"/>
      <c r="M241" s="279"/>
    </row>
    <row r="242" spans="1:13" x14ac:dyDescent="0.25">
      <c r="A242" s="279">
        <v>232</v>
      </c>
      <c r="B242" s="335">
        <v>44062</v>
      </c>
      <c r="C242" s="313"/>
      <c r="D242" s="343" t="s">
        <v>90</v>
      </c>
      <c r="E242" s="313"/>
      <c r="F242" s="313"/>
      <c r="G242" s="319"/>
      <c r="H242"/>
      <c r="I242"/>
      <c r="J242" s="279"/>
      <c r="K242" s="279"/>
      <c r="L242" s="279"/>
      <c r="M242" s="279"/>
    </row>
    <row r="243" spans="1:13" x14ac:dyDescent="0.25">
      <c r="A243" s="279">
        <v>233</v>
      </c>
      <c r="B243" s="335">
        <v>44063</v>
      </c>
      <c r="C243" s="313"/>
      <c r="D243" s="343" t="s">
        <v>3</v>
      </c>
      <c r="E243" s="313"/>
      <c r="F243" s="313"/>
      <c r="G243" s="319"/>
      <c r="H243"/>
      <c r="I243"/>
      <c r="J243" s="279"/>
      <c r="K243" s="279"/>
      <c r="L243" s="279"/>
      <c r="M243" s="279"/>
    </row>
    <row r="244" spans="1:13" ht="16.5" thickBot="1" x14ac:dyDescent="0.3">
      <c r="A244" s="279">
        <v>234</v>
      </c>
      <c r="B244" s="335">
        <v>44064</v>
      </c>
      <c r="C244" s="313"/>
      <c r="D244" s="343" t="s">
        <v>4</v>
      </c>
      <c r="E244" s="313"/>
      <c r="F244" s="313"/>
      <c r="G244" s="319"/>
      <c r="H244"/>
      <c r="I244"/>
      <c r="J244" s="279"/>
      <c r="K244" s="279"/>
      <c r="L244" s="279"/>
      <c r="M244" s="279"/>
    </row>
    <row r="245" spans="1:13" x14ac:dyDescent="0.25">
      <c r="A245" s="279">
        <v>235</v>
      </c>
      <c r="B245" s="336">
        <v>44065</v>
      </c>
      <c r="C245" s="296"/>
      <c r="D245" s="296"/>
      <c r="E245" s="346" t="s">
        <v>4</v>
      </c>
      <c r="F245" s="350" t="s">
        <v>8</v>
      </c>
      <c r="G245" s="353" t="s">
        <v>90</v>
      </c>
      <c r="H245"/>
      <c r="I245"/>
      <c r="J245" s="279"/>
      <c r="K245" s="279"/>
      <c r="L245" s="279"/>
      <c r="M245" s="279"/>
    </row>
    <row r="246" spans="1:13" ht="16.5" thickBot="1" x14ac:dyDescent="0.3">
      <c r="A246" s="279">
        <v>236</v>
      </c>
      <c r="B246" s="337">
        <v>44066</v>
      </c>
      <c r="C246" s="305"/>
      <c r="D246" s="305"/>
      <c r="E246" s="314"/>
      <c r="F246" s="316"/>
      <c r="G246" s="320"/>
      <c r="H246"/>
      <c r="I246"/>
      <c r="J246" s="279"/>
      <c r="K246" s="279"/>
      <c r="L246" s="279"/>
      <c r="M246" s="279"/>
    </row>
    <row r="247" spans="1:13" x14ac:dyDescent="0.25">
      <c r="A247" s="279">
        <v>237</v>
      </c>
      <c r="B247" s="338">
        <v>44067</v>
      </c>
      <c r="C247" s="315"/>
      <c r="D247" s="344" t="s">
        <v>2</v>
      </c>
      <c r="E247" s="315"/>
      <c r="F247" s="315"/>
      <c r="G247" s="321"/>
      <c r="H247"/>
      <c r="I247"/>
      <c r="J247" s="279"/>
      <c r="K247" s="279"/>
      <c r="L247" s="279"/>
      <c r="M247" s="279"/>
    </row>
    <row r="248" spans="1:13" x14ac:dyDescent="0.25">
      <c r="A248" s="279">
        <v>238</v>
      </c>
      <c r="B248" s="335">
        <v>44068</v>
      </c>
      <c r="C248" s="313"/>
      <c r="D248" s="343" t="s">
        <v>10</v>
      </c>
      <c r="E248" s="313"/>
      <c r="F248" s="313"/>
      <c r="G248" s="319"/>
      <c r="H248"/>
      <c r="I248"/>
      <c r="J248" s="279"/>
      <c r="K248" s="279"/>
      <c r="L248" s="279"/>
      <c r="M248" s="279"/>
    </row>
    <row r="249" spans="1:13" x14ac:dyDescent="0.25">
      <c r="A249" s="279">
        <v>239</v>
      </c>
      <c r="B249" s="335">
        <v>44069</v>
      </c>
      <c r="C249" s="313"/>
      <c r="D249" s="343" t="s">
        <v>6</v>
      </c>
      <c r="E249" s="313"/>
      <c r="F249" s="313"/>
      <c r="G249" s="319"/>
      <c r="H249"/>
      <c r="I249"/>
      <c r="J249" s="279"/>
      <c r="K249" s="279"/>
      <c r="L249" s="279"/>
      <c r="M249" s="279"/>
    </row>
    <row r="250" spans="1:13" x14ac:dyDescent="0.25">
      <c r="A250" s="279">
        <v>240</v>
      </c>
      <c r="B250" s="335">
        <v>44070</v>
      </c>
      <c r="C250" s="313"/>
      <c r="D250" s="343" t="s">
        <v>5</v>
      </c>
      <c r="E250" s="313"/>
      <c r="F250" s="313"/>
      <c r="G250" s="319"/>
      <c r="H250"/>
      <c r="I250"/>
      <c r="J250" s="279"/>
      <c r="K250" s="279"/>
      <c r="L250" s="279"/>
      <c r="M250" s="279"/>
    </row>
    <row r="251" spans="1:13" ht="16.5" thickBot="1" x14ac:dyDescent="0.3">
      <c r="A251" s="279">
        <v>241</v>
      </c>
      <c r="B251" s="335">
        <v>44071</v>
      </c>
      <c r="C251" s="313"/>
      <c r="D251" s="343" t="s">
        <v>91</v>
      </c>
      <c r="E251" s="313"/>
      <c r="F251" s="313"/>
      <c r="G251" s="319"/>
      <c r="H251"/>
      <c r="I251"/>
      <c r="J251" s="279"/>
      <c r="K251" s="279"/>
      <c r="L251" s="279"/>
      <c r="M251" s="279"/>
    </row>
    <row r="252" spans="1:13" x14ac:dyDescent="0.25">
      <c r="A252" s="279">
        <v>242</v>
      </c>
      <c r="B252" s="336">
        <v>44072</v>
      </c>
      <c r="C252" s="296"/>
      <c r="D252" s="296"/>
      <c r="E252" s="346" t="s">
        <v>10</v>
      </c>
      <c r="F252" s="350" t="s">
        <v>2</v>
      </c>
      <c r="G252" s="353" t="s">
        <v>5</v>
      </c>
      <c r="H252"/>
      <c r="I252"/>
      <c r="J252" s="279"/>
      <c r="K252" s="279"/>
      <c r="L252" s="279"/>
      <c r="M252" s="279"/>
    </row>
    <row r="253" spans="1:13" ht="16.5" thickBot="1" x14ac:dyDescent="0.3">
      <c r="A253" s="279">
        <v>243</v>
      </c>
      <c r="B253" s="337">
        <v>44073</v>
      </c>
      <c r="C253" s="305"/>
      <c r="D253" s="305"/>
      <c r="E253" s="314"/>
      <c r="F253" s="316"/>
      <c r="G253" s="320"/>
      <c r="H253"/>
      <c r="I253"/>
      <c r="J253" s="279"/>
      <c r="K253" s="279"/>
      <c r="L253" s="279"/>
      <c r="M253" s="279"/>
    </row>
    <row r="254" spans="1:13" x14ac:dyDescent="0.25">
      <c r="A254" s="279">
        <v>244</v>
      </c>
      <c r="B254" s="338">
        <v>44074</v>
      </c>
      <c r="C254" s="315"/>
      <c r="D254" s="344" t="s">
        <v>147</v>
      </c>
      <c r="E254" s="315"/>
      <c r="F254" s="315"/>
      <c r="G254" s="321"/>
      <c r="H254"/>
      <c r="I254"/>
      <c r="J254" s="279"/>
      <c r="K254" s="279"/>
      <c r="L254" s="279"/>
      <c r="M254" s="279"/>
    </row>
    <row r="255" spans="1:13" x14ac:dyDescent="0.25">
      <c r="A255" s="279">
        <v>245</v>
      </c>
      <c r="B255" s="335">
        <v>44075</v>
      </c>
      <c r="C255" s="343" t="s">
        <v>91</v>
      </c>
      <c r="D255" s="343" t="s">
        <v>7</v>
      </c>
      <c r="E255" s="313"/>
      <c r="F255" s="313"/>
      <c r="G255" s="319"/>
      <c r="H255"/>
      <c r="I255"/>
      <c r="J255" s="279"/>
      <c r="K255" s="279"/>
      <c r="L255" s="279"/>
      <c r="M255" s="279"/>
    </row>
    <row r="256" spans="1:13" x14ac:dyDescent="0.25">
      <c r="A256" s="279">
        <v>246</v>
      </c>
      <c r="B256" s="335">
        <v>44076</v>
      </c>
      <c r="C256" s="343" t="s">
        <v>91</v>
      </c>
      <c r="D256" s="343" t="s">
        <v>8</v>
      </c>
      <c r="E256" s="313"/>
      <c r="F256" s="313"/>
      <c r="G256" s="319"/>
      <c r="H256"/>
      <c r="I256"/>
      <c r="J256" s="279"/>
      <c r="K256" s="279"/>
      <c r="L256" s="279"/>
      <c r="M256" s="279"/>
    </row>
    <row r="257" spans="1:13" x14ac:dyDescent="0.25">
      <c r="A257" s="279">
        <v>247</v>
      </c>
      <c r="B257" s="335">
        <v>44077</v>
      </c>
      <c r="C257" s="343" t="s">
        <v>91</v>
      </c>
      <c r="D257" s="343" t="s">
        <v>90</v>
      </c>
      <c r="E257" s="313"/>
      <c r="F257" s="313"/>
      <c r="G257" s="319"/>
      <c r="H257"/>
      <c r="I257"/>
      <c r="J257" s="279"/>
      <c r="K257" s="279"/>
      <c r="L257" s="279"/>
      <c r="M257" s="279"/>
    </row>
    <row r="258" spans="1:13" ht="16.5" thickBot="1" x14ac:dyDescent="0.3">
      <c r="A258" s="279">
        <v>248</v>
      </c>
      <c r="B258" s="335">
        <v>44078</v>
      </c>
      <c r="C258" s="343" t="s">
        <v>91</v>
      </c>
      <c r="D258" s="343" t="s">
        <v>3</v>
      </c>
      <c r="E258" s="313"/>
      <c r="F258" s="313"/>
      <c r="G258" s="319"/>
      <c r="H258"/>
      <c r="I258"/>
      <c r="J258" s="279"/>
      <c r="K258" s="279"/>
      <c r="L258" s="279"/>
      <c r="M258" s="279"/>
    </row>
    <row r="259" spans="1:13" x14ac:dyDescent="0.25">
      <c r="A259" s="279">
        <v>249</v>
      </c>
      <c r="B259" s="336">
        <v>44079</v>
      </c>
      <c r="C259" s="296"/>
      <c r="D259" s="296"/>
      <c r="E259" s="346" t="s">
        <v>8</v>
      </c>
      <c r="F259" s="350" t="s">
        <v>10</v>
      </c>
      <c r="G259" s="353" t="s">
        <v>5</v>
      </c>
      <c r="H259"/>
      <c r="I259"/>
      <c r="J259" s="279"/>
      <c r="K259" s="279"/>
      <c r="L259" s="279"/>
      <c r="M259" s="279"/>
    </row>
    <row r="260" spans="1:13" ht="16.5" thickBot="1" x14ac:dyDescent="0.3">
      <c r="A260" s="279">
        <v>250</v>
      </c>
      <c r="B260" s="337">
        <v>44080</v>
      </c>
      <c r="C260" s="305"/>
      <c r="D260" s="305"/>
      <c r="E260" s="314"/>
      <c r="F260" s="316"/>
      <c r="G260" s="320"/>
      <c r="H260"/>
      <c r="I260"/>
      <c r="J260" s="279"/>
      <c r="K260" s="279"/>
      <c r="L260" s="279"/>
      <c r="M260" s="279"/>
    </row>
    <row r="261" spans="1:13" x14ac:dyDescent="0.25">
      <c r="A261" s="279">
        <v>251</v>
      </c>
      <c r="B261" s="338">
        <v>44081</v>
      </c>
      <c r="C261" s="344" t="s">
        <v>7</v>
      </c>
      <c r="D261" s="344" t="s">
        <v>4</v>
      </c>
      <c r="E261" s="315"/>
      <c r="F261" s="315"/>
      <c r="G261" s="321"/>
      <c r="H261"/>
      <c r="I261"/>
      <c r="J261" s="279"/>
      <c r="K261" s="279"/>
      <c r="L261" s="279"/>
      <c r="M261" s="279"/>
    </row>
    <row r="262" spans="1:13" x14ac:dyDescent="0.25">
      <c r="A262" s="279">
        <v>252</v>
      </c>
      <c r="B262" s="335">
        <v>44082</v>
      </c>
      <c r="C262" s="343" t="s">
        <v>7</v>
      </c>
      <c r="D262" s="343" t="s">
        <v>2</v>
      </c>
      <c r="E262" s="313"/>
      <c r="F262" s="313"/>
      <c r="G262" s="319"/>
      <c r="H262"/>
      <c r="I262"/>
      <c r="J262" s="279"/>
      <c r="K262" s="279"/>
      <c r="L262" s="279"/>
      <c r="M262" s="279"/>
    </row>
    <row r="263" spans="1:13" x14ac:dyDescent="0.25">
      <c r="A263" s="279">
        <v>253</v>
      </c>
      <c r="B263" s="335">
        <v>44083</v>
      </c>
      <c r="C263" s="343" t="s">
        <v>7</v>
      </c>
      <c r="D263" s="343" t="s">
        <v>10</v>
      </c>
      <c r="E263" s="313"/>
      <c r="F263" s="313"/>
      <c r="G263" s="319"/>
      <c r="H263"/>
      <c r="I263"/>
      <c r="J263" s="279"/>
      <c r="K263" s="279"/>
      <c r="L263" s="279"/>
      <c r="M263" s="279"/>
    </row>
    <row r="264" spans="1:13" x14ac:dyDescent="0.25">
      <c r="A264" s="279">
        <v>254</v>
      </c>
      <c r="B264" s="335">
        <v>44084</v>
      </c>
      <c r="C264" s="343" t="s">
        <v>7</v>
      </c>
      <c r="D264" s="343" t="s">
        <v>6</v>
      </c>
      <c r="E264" s="313"/>
      <c r="F264" s="313"/>
      <c r="G264" s="319"/>
      <c r="H264"/>
      <c r="I264"/>
      <c r="J264" s="279"/>
      <c r="K264" s="279"/>
      <c r="L264" s="279"/>
      <c r="M264" s="279"/>
    </row>
    <row r="265" spans="1:13" ht="16.5" thickBot="1" x14ac:dyDescent="0.3">
      <c r="A265" s="279">
        <v>255</v>
      </c>
      <c r="B265" s="335">
        <v>44085</v>
      </c>
      <c r="C265" s="343" t="s">
        <v>7</v>
      </c>
      <c r="D265" s="343" t="s">
        <v>5</v>
      </c>
      <c r="E265" s="313"/>
      <c r="F265" s="313"/>
      <c r="G265" s="319"/>
      <c r="H265"/>
      <c r="I265"/>
      <c r="J265" s="279"/>
      <c r="K265" s="279"/>
      <c r="L265" s="279"/>
      <c r="M265" s="279"/>
    </row>
    <row r="266" spans="1:13" x14ac:dyDescent="0.25">
      <c r="A266" s="279">
        <v>256</v>
      </c>
      <c r="B266" s="336">
        <v>44086</v>
      </c>
      <c r="C266" s="296"/>
      <c r="D266" s="296"/>
      <c r="E266" s="346" t="s">
        <v>6</v>
      </c>
      <c r="F266" s="350" t="s">
        <v>90</v>
      </c>
      <c r="G266" s="353" t="s">
        <v>10</v>
      </c>
      <c r="H266"/>
      <c r="I266"/>
      <c r="J266" s="279"/>
      <c r="K266" s="279"/>
      <c r="L266" s="279"/>
      <c r="M266" s="279"/>
    </row>
    <row r="267" spans="1:13" ht="16.5" thickBot="1" x14ac:dyDescent="0.3">
      <c r="A267" s="279">
        <v>257</v>
      </c>
      <c r="B267" s="337">
        <v>44087</v>
      </c>
      <c r="C267" s="305"/>
      <c r="D267" s="305"/>
      <c r="E267" s="314"/>
      <c r="F267" s="316"/>
      <c r="G267" s="320"/>
      <c r="H267"/>
      <c r="I267"/>
      <c r="J267" s="279"/>
      <c r="K267" s="279"/>
      <c r="L267" s="279"/>
      <c r="M267" s="279"/>
    </row>
    <row r="268" spans="1:13" x14ac:dyDescent="0.25">
      <c r="A268" s="279">
        <v>258</v>
      </c>
      <c r="B268" s="338">
        <v>44088</v>
      </c>
      <c r="C268" s="344" t="s">
        <v>8</v>
      </c>
      <c r="D268" s="344" t="s">
        <v>91</v>
      </c>
      <c r="E268" s="315"/>
      <c r="F268" s="315"/>
      <c r="G268" s="321"/>
      <c r="H268"/>
      <c r="I268"/>
      <c r="J268" s="279"/>
      <c r="K268" s="279"/>
      <c r="L268" s="279"/>
      <c r="M268" s="279"/>
    </row>
    <row r="269" spans="1:13" x14ac:dyDescent="0.25">
      <c r="A269" s="279">
        <v>259</v>
      </c>
      <c r="B269" s="335">
        <v>44089</v>
      </c>
      <c r="C269" s="343" t="s">
        <v>8</v>
      </c>
      <c r="D269" s="343" t="s">
        <v>147</v>
      </c>
      <c r="E269" s="313"/>
      <c r="F269" s="313"/>
      <c r="G269" s="319"/>
      <c r="H269"/>
      <c r="I269"/>
      <c r="J269" s="279"/>
      <c r="K269" s="279"/>
      <c r="L269" s="279"/>
      <c r="M269" s="279"/>
    </row>
    <row r="270" spans="1:13" x14ac:dyDescent="0.25">
      <c r="A270" s="279">
        <v>260</v>
      </c>
      <c r="B270" s="335">
        <v>44090</v>
      </c>
      <c r="C270" s="343" t="s">
        <v>8</v>
      </c>
      <c r="D270" s="343" t="s">
        <v>7</v>
      </c>
      <c r="E270" s="313"/>
      <c r="F270" s="313"/>
      <c r="G270" s="319"/>
      <c r="H270"/>
      <c r="I270"/>
      <c r="J270" s="279"/>
      <c r="K270" s="279"/>
      <c r="L270" s="279"/>
      <c r="M270" s="279"/>
    </row>
    <row r="271" spans="1:13" x14ac:dyDescent="0.25">
      <c r="A271" s="279">
        <v>261</v>
      </c>
      <c r="B271" s="335">
        <v>44091</v>
      </c>
      <c r="C271" s="343" t="s">
        <v>8</v>
      </c>
      <c r="D271" s="343" t="s">
        <v>4</v>
      </c>
      <c r="E271" s="313"/>
      <c r="F271" s="313"/>
      <c r="G271" s="319"/>
      <c r="H271"/>
      <c r="I271"/>
      <c r="J271" s="279"/>
      <c r="K271" s="279"/>
      <c r="L271" s="279"/>
      <c r="M271" s="279"/>
    </row>
    <row r="272" spans="1:13" ht="16.5" thickBot="1" x14ac:dyDescent="0.3">
      <c r="A272" s="279">
        <v>262</v>
      </c>
      <c r="B272" s="335">
        <v>44092</v>
      </c>
      <c r="C272" s="343" t="s">
        <v>8</v>
      </c>
      <c r="D272" s="343" t="s">
        <v>90</v>
      </c>
      <c r="E272" s="313"/>
      <c r="F272" s="313"/>
      <c r="G272" s="319"/>
      <c r="H272"/>
      <c r="I272"/>
      <c r="J272" s="279"/>
      <c r="K272" s="279"/>
      <c r="L272" s="279"/>
      <c r="M272" s="279"/>
    </row>
    <row r="273" spans="1:13" x14ac:dyDescent="0.25">
      <c r="A273" s="279">
        <v>263</v>
      </c>
      <c r="B273" s="336">
        <v>44093</v>
      </c>
      <c r="C273" s="296"/>
      <c r="D273" s="296"/>
      <c r="E273" s="346" t="s">
        <v>7</v>
      </c>
      <c r="F273" s="350" t="s">
        <v>8</v>
      </c>
      <c r="G273" s="353" t="s">
        <v>90</v>
      </c>
      <c r="H273"/>
      <c r="I273"/>
      <c r="J273" s="279"/>
      <c r="K273" s="279"/>
      <c r="L273" s="279"/>
      <c r="M273" s="279"/>
    </row>
    <row r="274" spans="1:13" ht="16.5" thickBot="1" x14ac:dyDescent="0.3">
      <c r="A274" s="279">
        <v>264</v>
      </c>
      <c r="B274" s="337">
        <v>44094</v>
      </c>
      <c r="C274" s="305"/>
      <c r="D274" s="305"/>
      <c r="E274" s="314"/>
      <c r="F274" s="316"/>
      <c r="G274" s="320"/>
      <c r="H274"/>
      <c r="I274"/>
      <c r="J274" s="279"/>
      <c r="K274" s="279"/>
      <c r="L274" s="279"/>
      <c r="M274" s="279"/>
    </row>
    <row r="275" spans="1:13" x14ac:dyDescent="0.25">
      <c r="A275" s="279">
        <v>265</v>
      </c>
      <c r="B275" s="338">
        <v>44095</v>
      </c>
      <c r="C275" s="344" t="s">
        <v>5</v>
      </c>
      <c r="D275" s="344" t="s">
        <v>2</v>
      </c>
      <c r="E275" s="315"/>
      <c r="F275" s="315"/>
      <c r="G275" s="321"/>
      <c r="H275"/>
      <c r="I275"/>
      <c r="J275" s="279"/>
      <c r="K275" s="279"/>
      <c r="L275" s="279"/>
      <c r="M275" s="279"/>
    </row>
    <row r="276" spans="1:13" x14ac:dyDescent="0.25">
      <c r="A276" s="279">
        <v>266</v>
      </c>
      <c r="B276" s="335">
        <v>44096</v>
      </c>
      <c r="C276" s="343" t="s">
        <v>5</v>
      </c>
      <c r="D276" s="343" t="s">
        <v>8</v>
      </c>
      <c r="E276" s="313"/>
      <c r="F276" s="313"/>
      <c r="G276" s="319"/>
      <c r="H276"/>
      <c r="I276"/>
      <c r="J276" s="279"/>
      <c r="K276" s="279"/>
      <c r="L276" s="279"/>
      <c r="M276" s="279"/>
    </row>
    <row r="277" spans="1:13" x14ac:dyDescent="0.25">
      <c r="A277" s="279">
        <v>267</v>
      </c>
      <c r="B277" s="335">
        <v>44097</v>
      </c>
      <c r="C277" s="343" t="s">
        <v>5</v>
      </c>
      <c r="D277" s="343" t="s">
        <v>3</v>
      </c>
      <c r="E277" s="313"/>
      <c r="F277" s="313"/>
      <c r="G277" s="319"/>
      <c r="H277"/>
      <c r="I277"/>
      <c r="J277" s="279"/>
      <c r="K277" s="279"/>
      <c r="L277" s="279"/>
      <c r="M277" s="279"/>
    </row>
    <row r="278" spans="1:13" x14ac:dyDescent="0.25">
      <c r="A278" s="279">
        <v>268</v>
      </c>
      <c r="B278" s="335">
        <v>44098</v>
      </c>
      <c r="C278" s="343" t="s">
        <v>5</v>
      </c>
      <c r="D278" s="343" t="s">
        <v>10</v>
      </c>
      <c r="E278" s="313"/>
      <c r="F278" s="313"/>
      <c r="G278" s="319"/>
      <c r="H278"/>
      <c r="I278"/>
      <c r="J278" s="279"/>
      <c r="K278" s="279"/>
      <c r="L278" s="279"/>
      <c r="M278" s="279"/>
    </row>
    <row r="279" spans="1:13" ht="16.5" thickBot="1" x14ac:dyDescent="0.3">
      <c r="A279" s="279">
        <v>269</v>
      </c>
      <c r="B279" s="335">
        <v>44099</v>
      </c>
      <c r="C279" s="343" t="s">
        <v>5</v>
      </c>
      <c r="D279" s="343" t="s">
        <v>6</v>
      </c>
      <c r="E279" s="313"/>
      <c r="F279" s="313"/>
      <c r="G279" s="319"/>
      <c r="H279"/>
      <c r="I279"/>
      <c r="J279" s="279"/>
      <c r="K279" s="279"/>
      <c r="L279" s="279"/>
      <c r="M279" s="279"/>
    </row>
    <row r="280" spans="1:13" x14ac:dyDescent="0.25">
      <c r="A280" s="279">
        <v>270</v>
      </c>
      <c r="B280" s="336">
        <v>44100</v>
      </c>
      <c r="C280" s="296"/>
      <c r="D280" s="296"/>
      <c r="E280" s="346" t="s">
        <v>3</v>
      </c>
      <c r="F280" s="350" t="s">
        <v>5</v>
      </c>
      <c r="G280" s="353" t="s">
        <v>4</v>
      </c>
      <c r="H280"/>
      <c r="I280"/>
      <c r="J280" s="279"/>
      <c r="K280" s="279"/>
      <c r="L280" s="279"/>
      <c r="M280" s="279"/>
    </row>
    <row r="281" spans="1:13" ht="16.5" thickBot="1" x14ac:dyDescent="0.3">
      <c r="A281" s="279">
        <v>271</v>
      </c>
      <c r="B281" s="337">
        <v>44101</v>
      </c>
      <c r="C281" s="305"/>
      <c r="D281" s="305"/>
      <c r="E281" s="314"/>
      <c r="F281" s="316"/>
      <c r="G281" s="320"/>
      <c r="H281"/>
      <c r="I281"/>
      <c r="J281" s="279"/>
      <c r="K281" s="279"/>
      <c r="L281" s="279"/>
      <c r="M281" s="279"/>
    </row>
    <row r="282" spans="1:13" x14ac:dyDescent="0.25">
      <c r="A282" s="279">
        <v>272</v>
      </c>
      <c r="B282" s="333">
        <v>44102</v>
      </c>
      <c r="C282" s="301"/>
      <c r="D282" s="301"/>
      <c r="E282" s="348" t="s">
        <v>3</v>
      </c>
      <c r="F282" s="301"/>
      <c r="G282" s="331"/>
      <c r="H282"/>
      <c r="I282"/>
      <c r="J282" s="279"/>
      <c r="K282" s="279"/>
      <c r="L282" s="279"/>
      <c r="M282" s="279"/>
    </row>
    <row r="283" spans="1:13" x14ac:dyDescent="0.25">
      <c r="A283" s="279">
        <v>273</v>
      </c>
      <c r="B283" s="335">
        <v>44103</v>
      </c>
      <c r="C283" s="343" t="s">
        <v>90</v>
      </c>
      <c r="D283" s="343" t="s">
        <v>5</v>
      </c>
      <c r="E283" s="313"/>
      <c r="F283" s="313"/>
      <c r="G283" s="319"/>
      <c r="H283"/>
      <c r="I283"/>
      <c r="J283" s="279"/>
      <c r="K283" s="279"/>
      <c r="L283" s="279"/>
      <c r="M283" s="279"/>
    </row>
    <row r="284" spans="1:13" x14ac:dyDescent="0.25">
      <c r="A284" s="279">
        <v>274</v>
      </c>
      <c r="B284" s="335">
        <v>44104</v>
      </c>
      <c r="C284" s="343" t="s">
        <v>90</v>
      </c>
      <c r="D284" s="343" t="s">
        <v>91</v>
      </c>
      <c r="E284" s="313"/>
      <c r="F284" s="313"/>
      <c r="G284" s="319"/>
      <c r="H284"/>
      <c r="I284"/>
      <c r="J284" s="279"/>
      <c r="K284" s="279"/>
      <c r="L284" s="279"/>
      <c r="M284" s="279"/>
    </row>
    <row r="285" spans="1:13" x14ac:dyDescent="0.25">
      <c r="A285" s="279">
        <v>275</v>
      </c>
      <c r="B285" s="335">
        <v>44105</v>
      </c>
      <c r="C285" s="343" t="s">
        <v>90</v>
      </c>
      <c r="D285" s="343" t="s">
        <v>147</v>
      </c>
      <c r="E285" s="313"/>
      <c r="F285" s="313"/>
      <c r="G285" s="319"/>
      <c r="H285"/>
      <c r="I285"/>
      <c r="J285" s="279"/>
      <c r="K285" s="279"/>
      <c r="L285" s="279"/>
      <c r="M285" s="279"/>
    </row>
    <row r="286" spans="1:13" ht="16.5" thickBot="1" x14ac:dyDescent="0.3">
      <c r="A286" s="279">
        <v>276</v>
      </c>
      <c r="B286" s="335">
        <v>44106</v>
      </c>
      <c r="C286" s="343" t="s">
        <v>90</v>
      </c>
      <c r="D286" s="343" t="s">
        <v>7</v>
      </c>
      <c r="E286" s="313"/>
      <c r="F286" s="313"/>
      <c r="G286" s="319"/>
      <c r="H286"/>
      <c r="I286"/>
      <c r="J286" s="279"/>
      <c r="K286" s="279"/>
      <c r="L286" s="279"/>
      <c r="M286" s="279"/>
    </row>
    <row r="287" spans="1:13" x14ac:dyDescent="0.25">
      <c r="A287" s="279">
        <v>277</v>
      </c>
      <c r="B287" s="336">
        <v>44107</v>
      </c>
      <c r="C287" s="296"/>
      <c r="D287" s="296"/>
      <c r="E287" s="346" t="s">
        <v>147</v>
      </c>
      <c r="F287" s="350" t="s">
        <v>91</v>
      </c>
      <c r="G287" s="353" t="s">
        <v>2</v>
      </c>
      <c r="H287"/>
      <c r="I287"/>
      <c r="J287" s="279"/>
      <c r="K287" s="279"/>
      <c r="L287" s="279"/>
      <c r="M287" s="279"/>
    </row>
    <row r="288" spans="1:13" ht="16.5" thickBot="1" x14ac:dyDescent="0.3">
      <c r="A288" s="279">
        <v>278</v>
      </c>
      <c r="B288" s="337">
        <v>44108</v>
      </c>
      <c r="C288" s="305"/>
      <c r="D288" s="305"/>
      <c r="E288" s="314"/>
      <c r="F288" s="316"/>
      <c r="G288" s="320"/>
      <c r="H288"/>
      <c r="I288"/>
      <c r="J288" s="279"/>
      <c r="K288" s="279"/>
      <c r="L288" s="279"/>
      <c r="M288" s="279"/>
    </row>
    <row r="289" spans="1:13" x14ac:dyDescent="0.25">
      <c r="A289" s="279">
        <v>279</v>
      </c>
      <c r="B289" s="338">
        <v>44109</v>
      </c>
      <c r="C289" s="344" t="s">
        <v>6</v>
      </c>
      <c r="D289" s="344" t="s">
        <v>4</v>
      </c>
      <c r="E289" s="315"/>
      <c r="F289" s="315"/>
      <c r="G289" s="321"/>
      <c r="H289"/>
      <c r="I289"/>
      <c r="J289" s="279"/>
      <c r="K289" s="279"/>
      <c r="L289" s="279"/>
      <c r="M289" s="279"/>
    </row>
    <row r="290" spans="1:13" x14ac:dyDescent="0.25">
      <c r="A290" s="279">
        <v>280</v>
      </c>
      <c r="B290" s="335">
        <v>44110</v>
      </c>
      <c r="C290" s="343" t="s">
        <v>6</v>
      </c>
      <c r="D290" s="343" t="s">
        <v>90</v>
      </c>
      <c r="E290" s="313"/>
      <c r="F290" s="313"/>
      <c r="G290" s="319"/>
      <c r="H290"/>
      <c r="I290"/>
      <c r="J290" s="279"/>
      <c r="K290" s="279"/>
      <c r="L290" s="279"/>
      <c r="M290" s="279"/>
    </row>
    <row r="291" spans="1:13" x14ac:dyDescent="0.25">
      <c r="A291" s="279">
        <v>281</v>
      </c>
      <c r="B291" s="335">
        <v>44111</v>
      </c>
      <c r="C291" s="343" t="s">
        <v>6</v>
      </c>
      <c r="D291" s="343" t="s">
        <v>2</v>
      </c>
      <c r="E291" s="313"/>
      <c r="F291" s="313"/>
      <c r="G291" s="319"/>
      <c r="H291"/>
      <c r="I291"/>
      <c r="J291" s="279"/>
      <c r="K291" s="279"/>
      <c r="L291" s="279"/>
      <c r="M291" s="279"/>
    </row>
    <row r="292" spans="1:13" x14ac:dyDescent="0.25">
      <c r="A292" s="279">
        <v>282</v>
      </c>
      <c r="B292" s="335">
        <v>44112</v>
      </c>
      <c r="C292" s="343" t="s">
        <v>6</v>
      </c>
      <c r="D292" s="343" t="s">
        <v>8</v>
      </c>
      <c r="E292" s="313"/>
      <c r="F292" s="313"/>
      <c r="G292" s="319"/>
      <c r="H292"/>
      <c r="I292"/>
      <c r="J292" s="279"/>
      <c r="K292" s="279"/>
      <c r="L292" s="279"/>
      <c r="M292" s="279"/>
    </row>
    <row r="293" spans="1:13" ht="16.5" thickBot="1" x14ac:dyDescent="0.3">
      <c r="A293" s="279">
        <v>283</v>
      </c>
      <c r="B293" s="335">
        <v>44113</v>
      </c>
      <c r="C293" s="343" t="s">
        <v>6</v>
      </c>
      <c r="D293" s="343" t="s">
        <v>3</v>
      </c>
      <c r="E293" s="313"/>
      <c r="F293" s="313"/>
      <c r="G293" s="319"/>
      <c r="H293"/>
      <c r="I293"/>
      <c r="J293" s="279"/>
      <c r="K293" s="279"/>
      <c r="L293" s="279"/>
      <c r="M293" s="279"/>
    </row>
    <row r="294" spans="1:13" x14ac:dyDescent="0.25">
      <c r="A294" s="279">
        <v>284</v>
      </c>
      <c r="B294" s="336">
        <v>44114</v>
      </c>
      <c r="C294" s="296"/>
      <c r="D294" s="296"/>
      <c r="E294" s="346" t="s">
        <v>90</v>
      </c>
      <c r="F294" s="350" t="s">
        <v>4</v>
      </c>
      <c r="G294" s="353" t="s">
        <v>7</v>
      </c>
      <c r="H294"/>
      <c r="I294"/>
      <c r="J294" s="279"/>
      <c r="K294" s="279"/>
      <c r="L294" s="279"/>
      <c r="M294" s="279"/>
    </row>
    <row r="295" spans="1:13" ht="16.5" thickBot="1" x14ac:dyDescent="0.3">
      <c r="A295" s="279">
        <v>285</v>
      </c>
      <c r="B295" s="337">
        <v>44115</v>
      </c>
      <c r="C295" s="305"/>
      <c r="D295" s="305"/>
      <c r="E295" s="314"/>
      <c r="F295" s="316"/>
      <c r="G295" s="320"/>
      <c r="H295"/>
      <c r="I295"/>
      <c r="J295" s="279"/>
      <c r="K295" s="279"/>
      <c r="L295" s="279"/>
      <c r="M295" s="279"/>
    </row>
    <row r="296" spans="1:13" x14ac:dyDescent="0.25">
      <c r="A296" s="279">
        <v>286</v>
      </c>
      <c r="B296" s="338">
        <v>44116</v>
      </c>
      <c r="C296" s="344" t="s">
        <v>2</v>
      </c>
      <c r="D296" s="344" t="s">
        <v>10</v>
      </c>
      <c r="E296" s="315"/>
      <c r="F296" s="315"/>
      <c r="G296" s="321"/>
      <c r="H296"/>
      <c r="I296"/>
      <c r="J296" s="279"/>
      <c r="K296" s="279"/>
      <c r="L296" s="279"/>
      <c r="M296" s="279"/>
    </row>
    <row r="297" spans="1:13" x14ac:dyDescent="0.25">
      <c r="A297" s="279">
        <v>287</v>
      </c>
      <c r="B297" s="335">
        <v>44117</v>
      </c>
      <c r="C297" s="343" t="s">
        <v>2</v>
      </c>
      <c r="D297" s="343" t="s">
        <v>6</v>
      </c>
      <c r="E297" s="313"/>
      <c r="F297" s="313"/>
      <c r="G297" s="319"/>
      <c r="H297"/>
      <c r="I297"/>
      <c r="J297" s="279"/>
      <c r="K297" s="279"/>
      <c r="L297" s="279"/>
      <c r="M297" s="279"/>
    </row>
    <row r="298" spans="1:13" x14ac:dyDescent="0.25">
      <c r="A298" s="279">
        <v>288</v>
      </c>
      <c r="B298" s="335">
        <v>44118</v>
      </c>
      <c r="C298" s="343" t="s">
        <v>2</v>
      </c>
      <c r="D298" s="343" t="s">
        <v>5</v>
      </c>
      <c r="E298" s="313"/>
      <c r="F298" s="313"/>
      <c r="G298" s="319"/>
      <c r="H298"/>
      <c r="I298"/>
      <c r="J298" s="279"/>
      <c r="K298" s="279"/>
      <c r="L298" s="279"/>
      <c r="M298" s="279"/>
    </row>
    <row r="299" spans="1:13" x14ac:dyDescent="0.25">
      <c r="A299" s="279">
        <v>289</v>
      </c>
      <c r="B299" s="335">
        <v>44119</v>
      </c>
      <c r="C299" s="343" t="s">
        <v>2</v>
      </c>
      <c r="D299" s="343" t="s">
        <v>91</v>
      </c>
      <c r="E299" s="313"/>
      <c r="F299" s="313"/>
      <c r="G299" s="319"/>
      <c r="H299"/>
      <c r="I299"/>
      <c r="J299" s="279"/>
      <c r="K299" s="279"/>
      <c r="L299" s="279"/>
      <c r="M299" s="279"/>
    </row>
    <row r="300" spans="1:13" ht="16.5" thickBot="1" x14ac:dyDescent="0.3">
      <c r="A300" s="279">
        <v>290</v>
      </c>
      <c r="B300" s="335">
        <v>44120</v>
      </c>
      <c r="C300" s="343" t="s">
        <v>2</v>
      </c>
      <c r="D300" s="343" t="s">
        <v>147</v>
      </c>
      <c r="E300" s="313"/>
      <c r="F300" s="313"/>
      <c r="G300" s="319"/>
      <c r="H300"/>
      <c r="I300"/>
      <c r="J300" s="279"/>
      <c r="K300" s="279"/>
      <c r="L300" s="279"/>
      <c r="M300" s="279"/>
    </row>
    <row r="301" spans="1:13" x14ac:dyDescent="0.25">
      <c r="A301" s="279">
        <v>291</v>
      </c>
      <c r="B301" s="336">
        <v>44121</v>
      </c>
      <c r="C301" s="296"/>
      <c r="D301" s="296"/>
      <c r="E301" s="346" t="s">
        <v>5</v>
      </c>
      <c r="F301" s="350" t="s">
        <v>6</v>
      </c>
      <c r="G301" s="353" t="s">
        <v>10</v>
      </c>
      <c r="H301"/>
      <c r="I301"/>
      <c r="J301" s="279"/>
      <c r="K301" s="279"/>
      <c r="L301" s="279"/>
      <c r="M301" s="279"/>
    </row>
    <row r="302" spans="1:13" ht="16.5" thickBot="1" x14ac:dyDescent="0.3">
      <c r="A302" s="279">
        <v>292</v>
      </c>
      <c r="B302" s="337">
        <v>44122</v>
      </c>
      <c r="C302" s="305"/>
      <c r="D302" s="305"/>
      <c r="E302" s="314"/>
      <c r="F302" s="316"/>
      <c r="G302" s="320"/>
      <c r="H302"/>
      <c r="I302"/>
      <c r="J302" s="279"/>
      <c r="K302" s="279"/>
      <c r="L302" s="279"/>
      <c r="M302" s="279"/>
    </row>
    <row r="303" spans="1:13" x14ac:dyDescent="0.25">
      <c r="A303" s="279">
        <v>293</v>
      </c>
      <c r="B303" s="338">
        <v>44123</v>
      </c>
      <c r="C303" s="344" t="s">
        <v>3</v>
      </c>
      <c r="D303" s="344" t="s">
        <v>7</v>
      </c>
      <c r="E303" s="315"/>
      <c r="F303" s="315"/>
      <c r="G303" s="321"/>
      <c r="H303"/>
      <c r="I303"/>
      <c r="J303" s="279"/>
      <c r="K303" s="279"/>
      <c r="L303" s="279"/>
      <c r="M303" s="279"/>
    </row>
    <row r="304" spans="1:13" x14ac:dyDescent="0.25">
      <c r="A304" s="279">
        <v>294</v>
      </c>
      <c r="B304" s="335">
        <v>44124</v>
      </c>
      <c r="C304" s="343" t="s">
        <v>3</v>
      </c>
      <c r="D304" s="343" t="s">
        <v>4</v>
      </c>
      <c r="E304" s="313"/>
      <c r="F304" s="313"/>
      <c r="G304" s="319"/>
      <c r="H304"/>
      <c r="I304"/>
      <c r="J304" s="279"/>
      <c r="K304" s="279"/>
      <c r="L304" s="279"/>
      <c r="M304" s="279"/>
    </row>
    <row r="305" spans="1:13" x14ac:dyDescent="0.25">
      <c r="A305" s="279">
        <v>295</v>
      </c>
      <c r="B305" s="335">
        <v>44125</v>
      </c>
      <c r="C305" s="343" t="s">
        <v>3</v>
      </c>
      <c r="D305" s="343" t="s">
        <v>90</v>
      </c>
      <c r="E305" s="313"/>
      <c r="F305" s="313"/>
      <c r="G305" s="319"/>
      <c r="H305"/>
      <c r="I305"/>
      <c r="J305" s="279"/>
      <c r="K305" s="279"/>
      <c r="L305" s="279"/>
      <c r="M305" s="279"/>
    </row>
    <row r="306" spans="1:13" x14ac:dyDescent="0.25">
      <c r="A306" s="279">
        <v>296</v>
      </c>
      <c r="B306" s="335">
        <v>44126</v>
      </c>
      <c r="C306" s="343" t="s">
        <v>3</v>
      </c>
      <c r="D306" s="343" t="s">
        <v>2</v>
      </c>
      <c r="E306" s="313"/>
      <c r="F306" s="313"/>
      <c r="G306" s="319"/>
      <c r="H306"/>
      <c r="I306"/>
      <c r="J306" s="279"/>
      <c r="K306" s="279"/>
      <c r="L306" s="279"/>
      <c r="M306" s="279"/>
    </row>
    <row r="307" spans="1:13" ht="16.5" thickBot="1" x14ac:dyDescent="0.3">
      <c r="A307" s="279">
        <v>297</v>
      </c>
      <c r="B307" s="335">
        <v>44127</v>
      </c>
      <c r="C307" s="343" t="s">
        <v>3</v>
      </c>
      <c r="D307" s="343" t="s">
        <v>8</v>
      </c>
      <c r="E307" s="313"/>
      <c r="F307" s="313"/>
      <c r="G307" s="319"/>
      <c r="H307"/>
      <c r="I307"/>
      <c r="J307" s="279"/>
      <c r="K307" s="279"/>
      <c r="L307" s="279"/>
      <c r="M307" s="279"/>
    </row>
    <row r="308" spans="1:13" x14ac:dyDescent="0.25">
      <c r="A308" s="279">
        <v>298</v>
      </c>
      <c r="B308" s="336">
        <v>44128</v>
      </c>
      <c r="C308" s="296"/>
      <c r="D308" s="296"/>
      <c r="E308" s="346" t="s">
        <v>10</v>
      </c>
      <c r="F308" s="350" t="s">
        <v>7</v>
      </c>
      <c r="G308" s="353" t="s">
        <v>91</v>
      </c>
      <c r="H308"/>
      <c r="I308"/>
      <c r="J308" s="279"/>
      <c r="K308" s="279"/>
      <c r="L308" s="279"/>
      <c r="M308" s="279"/>
    </row>
    <row r="309" spans="1:13" ht="16.5" thickBot="1" x14ac:dyDescent="0.3">
      <c r="A309" s="279">
        <v>299</v>
      </c>
      <c r="B309" s="337">
        <v>44129</v>
      </c>
      <c r="C309" s="305"/>
      <c r="D309" s="305"/>
      <c r="E309" s="314"/>
      <c r="F309" s="316"/>
      <c r="G309" s="320"/>
      <c r="H309"/>
      <c r="I309"/>
      <c r="J309" s="279"/>
      <c r="K309" s="279"/>
      <c r="L309" s="279"/>
      <c r="M309" s="279"/>
    </row>
    <row r="310" spans="1:13" x14ac:dyDescent="0.25">
      <c r="A310" s="279">
        <v>300</v>
      </c>
      <c r="B310" s="338">
        <v>44130</v>
      </c>
      <c r="C310" s="344" t="s">
        <v>91</v>
      </c>
      <c r="D310" s="344" t="s">
        <v>3</v>
      </c>
      <c r="E310" s="315"/>
      <c r="F310" s="315"/>
      <c r="G310" s="321"/>
      <c r="H310"/>
      <c r="I310"/>
      <c r="J310" s="279"/>
      <c r="K310" s="279"/>
      <c r="L310" s="279"/>
      <c r="M310" s="279"/>
    </row>
    <row r="311" spans="1:13" x14ac:dyDescent="0.25">
      <c r="A311" s="279">
        <v>301</v>
      </c>
      <c r="B311" s="335">
        <v>44131</v>
      </c>
      <c r="C311" s="343" t="s">
        <v>91</v>
      </c>
      <c r="D311" s="343" t="s">
        <v>10</v>
      </c>
      <c r="E311" s="313"/>
      <c r="F311" s="313"/>
      <c r="G311" s="319"/>
      <c r="H311"/>
      <c r="I311"/>
      <c r="J311" s="279"/>
      <c r="K311" s="279"/>
      <c r="L311" s="279"/>
      <c r="M311" s="279"/>
    </row>
    <row r="312" spans="1:13" x14ac:dyDescent="0.25">
      <c r="A312" s="279">
        <v>302</v>
      </c>
      <c r="B312" s="339">
        <v>44132</v>
      </c>
      <c r="C312" s="311"/>
      <c r="D312" s="311"/>
      <c r="E312" s="347" t="s">
        <v>2</v>
      </c>
      <c r="F312" s="347" t="s">
        <v>3</v>
      </c>
      <c r="G312" s="354" t="s">
        <v>8</v>
      </c>
      <c r="H312"/>
      <c r="I312"/>
      <c r="J312" s="279"/>
      <c r="K312" s="279"/>
      <c r="L312" s="279"/>
      <c r="M312" s="279"/>
    </row>
    <row r="313" spans="1:13" x14ac:dyDescent="0.25">
      <c r="A313" s="279">
        <v>303</v>
      </c>
      <c r="B313" s="335">
        <v>44133</v>
      </c>
      <c r="C313" s="343" t="s">
        <v>91</v>
      </c>
      <c r="D313" s="343" t="s">
        <v>6</v>
      </c>
      <c r="E313" s="313"/>
      <c r="F313" s="313"/>
      <c r="G313" s="319"/>
      <c r="H313"/>
      <c r="I313"/>
      <c r="J313" s="279"/>
      <c r="K313" s="279"/>
      <c r="L313" s="279"/>
      <c r="M313" s="279"/>
    </row>
    <row r="314" spans="1:13" ht="16.5" thickBot="1" x14ac:dyDescent="0.3">
      <c r="A314" s="279">
        <v>304</v>
      </c>
      <c r="B314" s="335">
        <v>44134</v>
      </c>
      <c r="C314" s="343" t="s">
        <v>91</v>
      </c>
      <c r="D314" s="343" t="s">
        <v>5</v>
      </c>
      <c r="E314" s="313"/>
      <c r="F314" s="313"/>
      <c r="G314" s="319"/>
      <c r="H314"/>
      <c r="I314"/>
      <c r="J314" s="279"/>
      <c r="K314" s="279"/>
      <c r="L314" s="279"/>
      <c r="M314" s="279"/>
    </row>
    <row r="315" spans="1:13" x14ac:dyDescent="0.25">
      <c r="A315" s="279">
        <v>305</v>
      </c>
      <c r="B315" s="336">
        <v>44135</v>
      </c>
      <c r="C315" s="296"/>
      <c r="D315" s="296"/>
      <c r="E315" s="346" t="s">
        <v>7</v>
      </c>
      <c r="F315" s="350" t="s">
        <v>90</v>
      </c>
      <c r="G315" s="353" t="s">
        <v>6</v>
      </c>
      <c r="H315"/>
      <c r="I315"/>
      <c r="J315" s="279"/>
      <c r="K315" s="279"/>
      <c r="L315" s="279"/>
      <c r="M315" s="279"/>
    </row>
    <row r="316" spans="1:13" ht="16.5" thickBot="1" x14ac:dyDescent="0.3">
      <c r="A316" s="279">
        <v>306</v>
      </c>
      <c r="B316" s="337">
        <v>44136</v>
      </c>
      <c r="C316" s="305"/>
      <c r="D316" s="305"/>
      <c r="E316" s="314"/>
      <c r="F316" s="316"/>
      <c r="G316" s="320"/>
      <c r="H316"/>
      <c r="I316"/>
      <c r="J316" s="279"/>
      <c r="K316" s="279"/>
      <c r="L316" s="279"/>
      <c r="M316" s="279"/>
    </row>
    <row r="317" spans="1:13" x14ac:dyDescent="0.25">
      <c r="A317" s="279">
        <v>307</v>
      </c>
      <c r="B317" s="338">
        <v>44137</v>
      </c>
      <c r="C317" s="344" t="s">
        <v>4</v>
      </c>
      <c r="D317" s="344" t="s">
        <v>91</v>
      </c>
      <c r="E317" s="315"/>
      <c r="F317" s="315"/>
      <c r="G317" s="321"/>
      <c r="H317"/>
      <c r="I317"/>
      <c r="J317" s="279"/>
      <c r="K317" s="279"/>
      <c r="L317" s="279"/>
      <c r="M317" s="279"/>
    </row>
    <row r="318" spans="1:13" x14ac:dyDescent="0.25">
      <c r="A318" s="279">
        <v>308</v>
      </c>
      <c r="B318" s="335">
        <v>44138</v>
      </c>
      <c r="C318" s="343" t="s">
        <v>4</v>
      </c>
      <c r="D318" s="343" t="s">
        <v>147</v>
      </c>
      <c r="E318" s="313"/>
      <c r="F318" s="313"/>
      <c r="G318" s="319"/>
      <c r="H318"/>
      <c r="I318"/>
      <c r="J318" s="279"/>
      <c r="K318" s="279"/>
      <c r="L318" s="279"/>
      <c r="M318" s="279"/>
    </row>
    <row r="319" spans="1:13" x14ac:dyDescent="0.25">
      <c r="A319" s="279">
        <v>309</v>
      </c>
      <c r="B319" s="335">
        <v>44139</v>
      </c>
      <c r="C319" s="343" t="s">
        <v>4</v>
      </c>
      <c r="D319" s="343" t="s">
        <v>7</v>
      </c>
      <c r="E319" s="313"/>
      <c r="F319" s="313"/>
      <c r="G319" s="319"/>
      <c r="H319"/>
      <c r="I319"/>
      <c r="J319" s="279"/>
      <c r="K319" s="279"/>
      <c r="L319" s="279"/>
      <c r="M319" s="279"/>
    </row>
    <row r="320" spans="1:13" x14ac:dyDescent="0.25">
      <c r="A320" s="279">
        <v>310</v>
      </c>
      <c r="B320" s="335">
        <v>44140</v>
      </c>
      <c r="C320" s="343" t="s">
        <v>4</v>
      </c>
      <c r="D320" s="343" t="s">
        <v>8</v>
      </c>
      <c r="E320" s="313"/>
      <c r="F320" s="313"/>
      <c r="G320" s="319"/>
      <c r="H320"/>
      <c r="I320"/>
      <c r="J320" s="279"/>
      <c r="K320" s="279"/>
      <c r="L320" s="279"/>
      <c r="M320" s="279"/>
    </row>
    <row r="321" spans="1:13" ht="16.5" thickBot="1" x14ac:dyDescent="0.3">
      <c r="A321" s="279">
        <v>311</v>
      </c>
      <c r="B321" s="335">
        <v>44141</v>
      </c>
      <c r="C321" s="343" t="s">
        <v>4</v>
      </c>
      <c r="D321" s="343" t="s">
        <v>10</v>
      </c>
      <c r="E321" s="313"/>
      <c r="F321" s="313"/>
      <c r="G321" s="319"/>
      <c r="H321"/>
      <c r="I321"/>
      <c r="J321" s="279"/>
      <c r="K321" s="279"/>
      <c r="L321" s="279"/>
      <c r="M321" s="279"/>
    </row>
    <row r="322" spans="1:13" x14ac:dyDescent="0.25">
      <c r="A322" s="279">
        <v>312</v>
      </c>
      <c r="B322" s="336">
        <v>44142</v>
      </c>
      <c r="C322" s="296"/>
      <c r="D322" s="296"/>
      <c r="E322" s="346" t="s">
        <v>4</v>
      </c>
      <c r="F322" s="350" t="s">
        <v>8</v>
      </c>
      <c r="G322" s="353" t="s">
        <v>147</v>
      </c>
      <c r="H322"/>
      <c r="I322"/>
      <c r="J322" s="279"/>
      <c r="K322" s="279"/>
      <c r="L322" s="279"/>
      <c r="M322" s="279"/>
    </row>
    <row r="323" spans="1:13" ht="16.5" thickBot="1" x14ac:dyDescent="0.3">
      <c r="A323" s="279">
        <v>313</v>
      </c>
      <c r="B323" s="337">
        <v>44143</v>
      </c>
      <c r="C323" s="305"/>
      <c r="D323" s="305"/>
      <c r="E323" s="314"/>
      <c r="F323" s="316"/>
      <c r="G323" s="320"/>
      <c r="H323"/>
      <c r="I323"/>
      <c r="J323" s="279"/>
      <c r="K323" s="279"/>
      <c r="L323" s="279"/>
      <c r="M323" s="279"/>
    </row>
    <row r="324" spans="1:13" x14ac:dyDescent="0.25">
      <c r="A324" s="279">
        <v>314</v>
      </c>
      <c r="B324" s="338">
        <v>44144</v>
      </c>
      <c r="C324" s="344" t="s">
        <v>10</v>
      </c>
      <c r="D324" s="344" t="s">
        <v>90</v>
      </c>
      <c r="E324" s="315"/>
      <c r="F324" s="315"/>
      <c r="G324" s="321"/>
      <c r="H324"/>
      <c r="I324"/>
      <c r="J324" s="279"/>
      <c r="K324" s="279"/>
      <c r="L324" s="279"/>
      <c r="M324" s="279"/>
    </row>
    <row r="325" spans="1:13" x14ac:dyDescent="0.25">
      <c r="A325" s="279">
        <v>315</v>
      </c>
      <c r="B325" s="335">
        <v>44145</v>
      </c>
      <c r="C325" s="343" t="s">
        <v>10</v>
      </c>
      <c r="D325" s="343" t="s">
        <v>2</v>
      </c>
      <c r="E325" s="313"/>
      <c r="F325" s="313"/>
      <c r="G325" s="319"/>
      <c r="H325"/>
      <c r="I325"/>
      <c r="J325" s="279"/>
      <c r="K325" s="279"/>
      <c r="L325" s="279"/>
      <c r="M325" s="279"/>
    </row>
    <row r="326" spans="1:13" x14ac:dyDescent="0.25">
      <c r="A326" s="279">
        <v>316</v>
      </c>
      <c r="B326" s="335">
        <v>44146</v>
      </c>
      <c r="C326" s="343" t="s">
        <v>10</v>
      </c>
      <c r="D326" s="343" t="s">
        <v>5</v>
      </c>
      <c r="E326" s="313"/>
      <c r="F326" s="313"/>
      <c r="G326" s="319"/>
      <c r="H326"/>
      <c r="I326"/>
      <c r="J326" s="279"/>
      <c r="K326" s="279"/>
      <c r="L326" s="279"/>
      <c r="M326" s="279"/>
    </row>
    <row r="327" spans="1:13" x14ac:dyDescent="0.25">
      <c r="A327" s="279">
        <v>317</v>
      </c>
      <c r="B327" s="335">
        <v>44147</v>
      </c>
      <c r="C327" s="343" t="s">
        <v>10</v>
      </c>
      <c r="D327" s="343" t="s">
        <v>3</v>
      </c>
      <c r="E327" s="313"/>
      <c r="F327" s="313"/>
      <c r="G327" s="319"/>
      <c r="H327"/>
      <c r="I327"/>
      <c r="J327" s="279"/>
      <c r="K327" s="279"/>
      <c r="L327" s="279"/>
      <c r="M327" s="279"/>
    </row>
    <row r="328" spans="1:13" ht="16.5" thickBot="1" x14ac:dyDescent="0.3">
      <c r="A328" s="279">
        <v>318</v>
      </c>
      <c r="B328" s="335">
        <v>44148</v>
      </c>
      <c r="C328" s="343" t="s">
        <v>10</v>
      </c>
      <c r="D328" s="343" t="s">
        <v>4</v>
      </c>
      <c r="E328" s="313"/>
      <c r="F328" s="313"/>
      <c r="G328" s="319"/>
      <c r="H328"/>
      <c r="I328"/>
      <c r="J328" s="279"/>
      <c r="K328" s="279"/>
      <c r="L328" s="279"/>
      <c r="M328" s="279"/>
    </row>
    <row r="329" spans="1:13" x14ac:dyDescent="0.25">
      <c r="A329" s="279">
        <v>319</v>
      </c>
      <c r="B329" s="336">
        <v>44149</v>
      </c>
      <c r="C329" s="296"/>
      <c r="D329" s="296"/>
      <c r="E329" s="346" t="s">
        <v>147</v>
      </c>
      <c r="F329" s="350" t="s">
        <v>3</v>
      </c>
      <c r="G329" s="353" t="s">
        <v>8</v>
      </c>
      <c r="H329"/>
      <c r="I329"/>
      <c r="J329" s="279"/>
      <c r="K329" s="279"/>
      <c r="L329" s="279"/>
      <c r="M329" s="279"/>
    </row>
    <row r="330" spans="1:13" ht="16.5" thickBot="1" x14ac:dyDescent="0.3">
      <c r="A330" s="279">
        <v>320</v>
      </c>
      <c r="B330" s="337">
        <v>44150</v>
      </c>
      <c r="C330" s="305"/>
      <c r="D330" s="305"/>
      <c r="E330" s="314"/>
      <c r="F330" s="316"/>
      <c r="G330" s="320"/>
      <c r="H330"/>
      <c r="I330"/>
      <c r="J330" s="279"/>
      <c r="K330" s="279"/>
      <c r="L330" s="279"/>
      <c r="M330" s="279"/>
    </row>
    <row r="331" spans="1:13" x14ac:dyDescent="0.25">
      <c r="A331" s="279">
        <v>321</v>
      </c>
      <c r="B331" s="338">
        <v>44151</v>
      </c>
      <c r="C331" s="344" t="s">
        <v>90</v>
      </c>
      <c r="D331" s="344" t="s">
        <v>6</v>
      </c>
      <c r="E331" s="315"/>
      <c r="F331" s="315"/>
      <c r="G331" s="321"/>
      <c r="H331"/>
      <c r="I331"/>
      <c r="J331" s="279"/>
      <c r="K331" s="279"/>
      <c r="L331" s="279"/>
      <c r="M331" s="279"/>
    </row>
    <row r="332" spans="1:13" x14ac:dyDescent="0.25">
      <c r="A332" s="279">
        <v>322</v>
      </c>
      <c r="B332" s="339">
        <v>44152</v>
      </c>
      <c r="C332" s="311"/>
      <c r="D332" s="311"/>
      <c r="E332" s="347" t="s">
        <v>6</v>
      </c>
      <c r="F332" s="347" t="s">
        <v>2</v>
      </c>
      <c r="G332" s="354" t="s">
        <v>3</v>
      </c>
      <c r="H332"/>
      <c r="I332"/>
      <c r="J332" s="279"/>
      <c r="K332" s="279"/>
      <c r="L332" s="279"/>
      <c r="M332" s="279"/>
    </row>
    <row r="333" spans="1:13" x14ac:dyDescent="0.25">
      <c r="A333" s="279">
        <v>323</v>
      </c>
      <c r="B333" s="335">
        <v>44153</v>
      </c>
      <c r="C333" s="343" t="s">
        <v>90</v>
      </c>
      <c r="D333" s="343" t="s">
        <v>91</v>
      </c>
      <c r="E333" s="313"/>
      <c r="F333" s="313"/>
      <c r="G333" s="319"/>
      <c r="H333"/>
      <c r="I333"/>
      <c r="J333" s="279"/>
      <c r="K333" s="279"/>
      <c r="L333" s="279"/>
      <c r="M333" s="279"/>
    </row>
    <row r="334" spans="1:13" x14ac:dyDescent="0.25">
      <c r="A334" s="279">
        <v>324</v>
      </c>
      <c r="B334" s="335">
        <v>44154</v>
      </c>
      <c r="C334" s="343" t="s">
        <v>90</v>
      </c>
      <c r="D334" s="343" t="s">
        <v>147</v>
      </c>
      <c r="E334" s="313"/>
      <c r="F334" s="313"/>
      <c r="G334" s="319"/>
      <c r="H334"/>
      <c r="I334"/>
      <c r="J334" s="279"/>
      <c r="K334" s="279"/>
      <c r="L334" s="279"/>
      <c r="M334" s="279"/>
    </row>
    <row r="335" spans="1:13" ht="16.5" thickBot="1" x14ac:dyDescent="0.3">
      <c r="A335" s="279">
        <v>325</v>
      </c>
      <c r="B335" s="335">
        <v>44155</v>
      </c>
      <c r="C335" s="343" t="s">
        <v>90</v>
      </c>
      <c r="D335" s="343" t="s">
        <v>7</v>
      </c>
      <c r="E335" s="313"/>
      <c r="F335" s="313"/>
      <c r="G335" s="319"/>
      <c r="H335"/>
      <c r="I335"/>
      <c r="J335" s="279"/>
      <c r="K335" s="279"/>
      <c r="L335" s="279"/>
      <c r="M335" s="279"/>
    </row>
    <row r="336" spans="1:13" x14ac:dyDescent="0.25">
      <c r="A336" s="279">
        <v>326</v>
      </c>
      <c r="B336" s="336">
        <v>44156</v>
      </c>
      <c r="C336" s="296"/>
      <c r="D336" s="296"/>
      <c r="E336" s="346" t="s">
        <v>90</v>
      </c>
      <c r="F336" s="350" t="s">
        <v>7</v>
      </c>
      <c r="G336" s="353" t="s">
        <v>6</v>
      </c>
      <c r="H336"/>
      <c r="I336"/>
      <c r="J336" s="279"/>
      <c r="K336" s="279"/>
      <c r="L336" s="279"/>
      <c r="M336" s="279"/>
    </row>
    <row r="337" spans="1:13" ht="16.5" thickBot="1" x14ac:dyDescent="0.3">
      <c r="A337" s="279">
        <v>327</v>
      </c>
      <c r="B337" s="337">
        <v>44157</v>
      </c>
      <c r="C337" s="305"/>
      <c r="D337" s="305"/>
      <c r="E337" s="314"/>
      <c r="F337" s="316"/>
      <c r="G337" s="320"/>
      <c r="H337"/>
      <c r="I337"/>
      <c r="J337" s="279"/>
      <c r="K337" s="279"/>
      <c r="L337" s="279"/>
      <c r="M337" s="279"/>
    </row>
    <row r="338" spans="1:13" x14ac:dyDescent="0.25">
      <c r="A338" s="279">
        <v>328</v>
      </c>
      <c r="B338" s="338">
        <v>44158</v>
      </c>
      <c r="C338" s="344" t="s">
        <v>147</v>
      </c>
      <c r="D338" s="344" t="s">
        <v>8</v>
      </c>
      <c r="E338" s="315"/>
      <c r="F338" s="315"/>
      <c r="G338" s="321"/>
      <c r="H338"/>
      <c r="I338"/>
      <c r="J338" s="279"/>
      <c r="K338" s="279"/>
      <c r="L338" s="279"/>
      <c r="M338" s="279"/>
    </row>
    <row r="339" spans="1:13" x14ac:dyDescent="0.25">
      <c r="A339" s="279">
        <v>329</v>
      </c>
      <c r="B339" s="335">
        <v>44159</v>
      </c>
      <c r="C339" s="343" t="s">
        <v>147</v>
      </c>
      <c r="D339" s="343" t="s">
        <v>10</v>
      </c>
      <c r="E339" s="313"/>
      <c r="F339" s="313"/>
      <c r="G339" s="319"/>
      <c r="H339"/>
      <c r="I339"/>
      <c r="J339" s="279"/>
      <c r="K339" s="279"/>
      <c r="L339" s="279"/>
      <c r="M339" s="279"/>
    </row>
    <row r="340" spans="1:13" x14ac:dyDescent="0.25">
      <c r="A340" s="279">
        <v>330</v>
      </c>
      <c r="B340" s="335">
        <v>44160</v>
      </c>
      <c r="C340" s="343" t="s">
        <v>147</v>
      </c>
      <c r="D340" s="343" t="s">
        <v>90</v>
      </c>
      <c r="E340" s="313"/>
      <c r="F340" s="313"/>
      <c r="G340" s="319"/>
      <c r="H340"/>
      <c r="I340"/>
      <c r="J340" s="279"/>
      <c r="K340" s="279"/>
      <c r="L340" s="279"/>
      <c r="M340" s="279"/>
    </row>
    <row r="341" spans="1:13" x14ac:dyDescent="0.25">
      <c r="A341" s="279">
        <v>331</v>
      </c>
      <c r="B341" s="335">
        <v>44161</v>
      </c>
      <c r="C341" s="343" t="s">
        <v>147</v>
      </c>
      <c r="D341" s="343" t="s">
        <v>2</v>
      </c>
      <c r="E341" s="313"/>
      <c r="F341" s="313"/>
      <c r="G341" s="319"/>
      <c r="H341"/>
      <c r="I341"/>
      <c r="J341" s="279"/>
      <c r="K341" s="279"/>
      <c r="L341" s="279"/>
      <c r="M341" s="279"/>
    </row>
    <row r="342" spans="1:13" ht="16.5" thickBot="1" x14ac:dyDescent="0.3">
      <c r="A342" s="279">
        <v>332</v>
      </c>
      <c r="B342" s="335">
        <v>44162</v>
      </c>
      <c r="C342" s="343" t="s">
        <v>147</v>
      </c>
      <c r="D342" s="343" t="s">
        <v>5</v>
      </c>
      <c r="E342" s="313"/>
      <c r="F342" s="313"/>
      <c r="G342" s="319"/>
      <c r="H342"/>
      <c r="I342"/>
      <c r="J342" s="279"/>
      <c r="K342" s="279"/>
      <c r="L342" s="279"/>
      <c r="M342" s="279"/>
    </row>
    <row r="343" spans="1:13" x14ac:dyDescent="0.25">
      <c r="A343" s="279">
        <v>333</v>
      </c>
      <c r="B343" s="336">
        <v>44163</v>
      </c>
      <c r="C343" s="296"/>
      <c r="D343" s="296"/>
      <c r="E343" s="346" t="s">
        <v>91</v>
      </c>
      <c r="F343" s="350" t="s">
        <v>4</v>
      </c>
      <c r="G343" s="353" t="s">
        <v>10</v>
      </c>
      <c r="H343"/>
      <c r="I343"/>
      <c r="J343" s="279"/>
      <c r="K343" s="279"/>
      <c r="L343" s="279"/>
      <c r="M343" s="279"/>
    </row>
    <row r="344" spans="1:13" ht="16.5" thickBot="1" x14ac:dyDescent="0.3">
      <c r="A344" s="279">
        <v>334</v>
      </c>
      <c r="B344" s="337">
        <v>44164</v>
      </c>
      <c r="C344" s="305"/>
      <c r="D344" s="305"/>
      <c r="E344" s="314"/>
      <c r="F344" s="316"/>
      <c r="G344" s="320"/>
      <c r="H344"/>
      <c r="I344"/>
      <c r="J344" s="279"/>
      <c r="K344" s="279"/>
      <c r="L344" s="279"/>
      <c r="M344" s="279"/>
    </row>
    <row r="345" spans="1:13" x14ac:dyDescent="0.25">
      <c r="A345" s="279">
        <v>335</v>
      </c>
      <c r="B345" s="338">
        <v>44165</v>
      </c>
      <c r="C345" s="344" t="s">
        <v>8</v>
      </c>
      <c r="D345" s="344" t="s">
        <v>3</v>
      </c>
      <c r="E345" s="315"/>
      <c r="F345" s="315"/>
      <c r="G345" s="321"/>
      <c r="H345"/>
      <c r="I345"/>
      <c r="J345" s="279"/>
      <c r="K345" s="279"/>
      <c r="L345" s="279"/>
      <c r="M345" s="279"/>
    </row>
    <row r="346" spans="1:13" x14ac:dyDescent="0.25">
      <c r="A346" s="279">
        <v>336</v>
      </c>
      <c r="B346" s="335">
        <v>44166</v>
      </c>
      <c r="C346" s="343" t="s">
        <v>8</v>
      </c>
      <c r="D346" s="343" t="s">
        <v>4</v>
      </c>
      <c r="E346" s="313"/>
      <c r="F346" s="313"/>
      <c r="G346" s="319"/>
      <c r="H346"/>
      <c r="I346"/>
      <c r="J346" s="279"/>
      <c r="K346" s="279"/>
      <c r="L346" s="279"/>
      <c r="M346" s="279"/>
    </row>
    <row r="347" spans="1:13" x14ac:dyDescent="0.25">
      <c r="A347" s="279">
        <v>337</v>
      </c>
      <c r="B347" s="335">
        <v>44167</v>
      </c>
      <c r="C347" s="343" t="s">
        <v>8</v>
      </c>
      <c r="D347" s="343" t="s">
        <v>6</v>
      </c>
      <c r="E347" s="313"/>
      <c r="F347" s="313"/>
      <c r="G347" s="319"/>
      <c r="H347"/>
      <c r="I347"/>
      <c r="J347" s="279"/>
      <c r="K347" s="279"/>
      <c r="L347" s="279"/>
      <c r="M347" s="279"/>
    </row>
    <row r="348" spans="1:13" x14ac:dyDescent="0.25">
      <c r="A348" s="279">
        <v>338</v>
      </c>
      <c r="B348" s="335">
        <v>44168</v>
      </c>
      <c r="C348" s="343" t="s">
        <v>8</v>
      </c>
      <c r="D348" s="343" t="s">
        <v>91</v>
      </c>
      <c r="E348" s="313"/>
      <c r="F348" s="313"/>
      <c r="G348" s="319"/>
      <c r="H348"/>
      <c r="I348"/>
      <c r="J348" s="279"/>
      <c r="K348" s="279"/>
      <c r="L348" s="279"/>
      <c r="M348" s="279"/>
    </row>
    <row r="349" spans="1:13" ht="16.5" thickBot="1" x14ac:dyDescent="0.3">
      <c r="A349" s="279">
        <v>339</v>
      </c>
      <c r="B349" s="335">
        <v>44169</v>
      </c>
      <c r="C349" s="343" t="s">
        <v>8</v>
      </c>
      <c r="D349" s="343" t="s">
        <v>147</v>
      </c>
      <c r="E349" s="313"/>
      <c r="F349" s="313"/>
      <c r="G349" s="319"/>
      <c r="H349"/>
      <c r="I349"/>
      <c r="J349" s="279"/>
      <c r="K349" s="279"/>
      <c r="L349" s="279"/>
      <c r="M349" s="279"/>
    </row>
    <row r="350" spans="1:13" x14ac:dyDescent="0.25">
      <c r="A350" s="279">
        <v>340</v>
      </c>
      <c r="B350" s="336">
        <v>44170</v>
      </c>
      <c r="C350" s="296"/>
      <c r="D350" s="296"/>
      <c r="E350" s="346" t="s">
        <v>8</v>
      </c>
      <c r="F350" s="350" t="s">
        <v>6</v>
      </c>
      <c r="G350" s="353" t="s">
        <v>147</v>
      </c>
      <c r="H350"/>
      <c r="I350"/>
      <c r="J350" s="279"/>
      <c r="K350" s="279"/>
      <c r="L350" s="279"/>
      <c r="M350" s="279"/>
    </row>
    <row r="351" spans="1:13" ht="16.5" thickBot="1" x14ac:dyDescent="0.3">
      <c r="A351" s="279">
        <v>341</v>
      </c>
      <c r="B351" s="337">
        <v>44171</v>
      </c>
      <c r="C351" s="305"/>
      <c r="D351" s="305"/>
      <c r="E351" s="314"/>
      <c r="F351" s="316"/>
      <c r="G351" s="320"/>
      <c r="H351"/>
      <c r="I351"/>
      <c r="J351" s="279"/>
      <c r="K351" s="279"/>
      <c r="L351" s="279"/>
      <c r="M351" s="279"/>
    </row>
    <row r="352" spans="1:13" x14ac:dyDescent="0.25">
      <c r="A352" s="279">
        <v>342</v>
      </c>
      <c r="B352" s="338">
        <v>44172</v>
      </c>
      <c r="C352" s="344" t="s">
        <v>5</v>
      </c>
      <c r="D352" s="344" t="s">
        <v>7</v>
      </c>
      <c r="E352" s="315"/>
      <c r="F352" s="315"/>
      <c r="G352" s="321"/>
      <c r="H352"/>
      <c r="I352"/>
      <c r="J352" s="279"/>
      <c r="K352" s="279"/>
      <c r="L352" s="279"/>
      <c r="M352" s="279"/>
    </row>
    <row r="353" spans="1:13" x14ac:dyDescent="0.25">
      <c r="A353" s="279">
        <v>343</v>
      </c>
      <c r="B353" s="335">
        <v>44173</v>
      </c>
      <c r="C353" s="343" t="s">
        <v>5</v>
      </c>
      <c r="D353" s="343" t="s">
        <v>8</v>
      </c>
      <c r="E353" s="313"/>
      <c r="F353" s="313"/>
      <c r="G353" s="319"/>
      <c r="H353"/>
      <c r="I353"/>
      <c r="J353" s="279"/>
      <c r="K353" s="279"/>
      <c r="L353" s="279"/>
      <c r="M353" s="279"/>
    </row>
    <row r="354" spans="1:13" x14ac:dyDescent="0.25">
      <c r="A354" s="279">
        <v>344</v>
      </c>
      <c r="B354" s="335">
        <v>44174</v>
      </c>
      <c r="C354" s="343" t="s">
        <v>5</v>
      </c>
      <c r="D354" s="343" t="s">
        <v>10</v>
      </c>
      <c r="E354" s="313"/>
      <c r="F354" s="313"/>
      <c r="G354" s="319"/>
      <c r="H354"/>
      <c r="I354"/>
      <c r="J354" s="279"/>
      <c r="K354" s="279"/>
      <c r="L354" s="279"/>
      <c r="M354" s="279"/>
    </row>
    <row r="355" spans="1:13" x14ac:dyDescent="0.25">
      <c r="A355" s="279">
        <v>345</v>
      </c>
      <c r="B355" s="335">
        <v>44175</v>
      </c>
      <c r="C355" s="343" t="s">
        <v>5</v>
      </c>
      <c r="D355" s="343" t="s">
        <v>90</v>
      </c>
      <c r="E355" s="313"/>
      <c r="F355" s="313"/>
      <c r="G355" s="319"/>
      <c r="H355"/>
      <c r="I355"/>
      <c r="J355" s="279"/>
      <c r="K355" s="279"/>
      <c r="L355" s="279"/>
      <c r="M355" s="279"/>
    </row>
    <row r="356" spans="1:13" ht="16.5" thickBot="1" x14ac:dyDescent="0.3">
      <c r="A356" s="279">
        <v>346</v>
      </c>
      <c r="B356" s="335">
        <v>44176</v>
      </c>
      <c r="C356" s="343" t="s">
        <v>5</v>
      </c>
      <c r="D356" s="343" t="s">
        <v>2</v>
      </c>
      <c r="E356" s="313"/>
      <c r="F356" s="313"/>
      <c r="G356" s="319"/>
      <c r="H356"/>
      <c r="I356"/>
      <c r="J356" s="279"/>
      <c r="K356" s="279"/>
      <c r="L356" s="279"/>
      <c r="M356" s="279"/>
    </row>
    <row r="357" spans="1:13" x14ac:dyDescent="0.25">
      <c r="A357" s="279">
        <v>347</v>
      </c>
      <c r="B357" s="336">
        <v>44177</v>
      </c>
      <c r="C357" s="296"/>
      <c r="D357" s="296"/>
      <c r="E357" s="346" t="s">
        <v>4</v>
      </c>
      <c r="F357" s="350" t="s">
        <v>147</v>
      </c>
      <c r="G357" s="353" t="s">
        <v>3</v>
      </c>
      <c r="H357"/>
      <c r="I357"/>
      <c r="J357" s="279"/>
      <c r="K357" s="279"/>
      <c r="L357" s="279"/>
      <c r="M357" s="279"/>
    </row>
    <row r="358" spans="1:13" ht="16.5" thickBot="1" x14ac:dyDescent="0.3">
      <c r="A358" s="279">
        <v>348</v>
      </c>
      <c r="B358" s="337">
        <v>44178</v>
      </c>
      <c r="C358" s="305"/>
      <c r="D358" s="305"/>
      <c r="E358" s="314"/>
      <c r="F358" s="316"/>
      <c r="G358" s="320"/>
      <c r="H358"/>
      <c r="I358"/>
      <c r="J358" s="279"/>
      <c r="K358" s="279"/>
      <c r="L358" s="279"/>
      <c r="M358" s="279"/>
    </row>
    <row r="359" spans="1:13" x14ac:dyDescent="0.25">
      <c r="A359" s="279">
        <v>349</v>
      </c>
      <c r="B359" s="338">
        <v>44179</v>
      </c>
      <c r="C359" s="344" t="s">
        <v>6</v>
      </c>
      <c r="D359" s="344" t="s">
        <v>5</v>
      </c>
      <c r="E359" s="315"/>
      <c r="F359" s="315"/>
      <c r="G359" s="321"/>
      <c r="H359"/>
      <c r="I359"/>
      <c r="J359" s="279"/>
      <c r="K359" s="279"/>
      <c r="L359" s="279"/>
      <c r="M359" s="279"/>
    </row>
    <row r="360" spans="1:13" x14ac:dyDescent="0.25">
      <c r="A360" s="279">
        <v>350</v>
      </c>
      <c r="B360" s="335">
        <v>44180</v>
      </c>
      <c r="C360" s="343" t="s">
        <v>6</v>
      </c>
      <c r="D360" s="343" t="s">
        <v>3</v>
      </c>
      <c r="E360" s="313"/>
      <c r="F360" s="313"/>
      <c r="G360" s="319"/>
      <c r="H360"/>
      <c r="I360"/>
      <c r="J360" s="279"/>
      <c r="K360" s="279"/>
      <c r="L360" s="279"/>
      <c r="M360" s="279"/>
    </row>
    <row r="361" spans="1:13" x14ac:dyDescent="0.25">
      <c r="A361" s="279">
        <v>351</v>
      </c>
      <c r="B361" s="335">
        <v>44181</v>
      </c>
      <c r="C361" s="343" t="s">
        <v>6</v>
      </c>
      <c r="D361" s="343" t="s">
        <v>4</v>
      </c>
      <c r="E361" s="313"/>
      <c r="F361" s="313"/>
      <c r="G361" s="319"/>
      <c r="H361"/>
      <c r="I361"/>
      <c r="J361" s="279"/>
      <c r="K361" s="279"/>
      <c r="L361" s="279"/>
      <c r="M361" s="279"/>
    </row>
    <row r="362" spans="1:13" x14ac:dyDescent="0.25">
      <c r="A362" s="279">
        <v>352</v>
      </c>
      <c r="B362" s="335">
        <v>44182</v>
      </c>
      <c r="C362" s="343" t="s">
        <v>6</v>
      </c>
      <c r="D362" s="343" t="s">
        <v>7</v>
      </c>
      <c r="E362" s="313"/>
      <c r="F362" s="313"/>
      <c r="G362" s="319"/>
      <c r="H362"/>
      <c r="I362"/>
      <c r="J362" s="279"/>
      <c r="K362" s="279"/>
      <c r="L362" s="279"/>
      <c r="M362" s="279"/>
    </row>
    <row r="363" spans="1:13" ht="16.5" thickBot="1" x14ac:dyDescent="0.3">
      <c r="A363" s="279">
        <v>353</v>
      </c>
      <c r="B363" s="335">
        <v>44183</v>
      </c>
      <c r="C363" s="343" t="s">
        <v>6</v>
      </c>
      <c r="D363" s="343" t="s">
        <v>8</v>
      </c>
      <c r="E363" s="313"/>
      <c r="F363" s="313"/>
      <c r="G363" s="319"/>
      <c r="H363"/>
      <c r="I363"/>
      <c r="J363" s="279"/>
      <c r="K363" s="279"/>
      <c r="L363" s="279"/>
      <c r="M363" s="279"/>
    </row>
    <row r="364" spans="1:13" x14ac:dyDescent="0.25">
      <c r="A364" s="279">
        <v>354</v>
      </c>
      <c r="B364" s="336">
        <v>44184</v>
      </c>
      <c r="C364" s="296"/>
      <c r="D364" s="296"/>
      <c r="E364" s="346" t="s">
        <v>90</v>
      </c>
      <c r="F364" s="350" t="s">
        <v>91</v>
      </c>
      <c r="G364" s="353" t="s">
        <v>7</v>
      </c>
      <c r="H364"/>
      <c r="I364"/>
      <c r="J364" s="279"/>
      <c r="K364" s="279"/>
      <c r="L364" s="279"/>
      <c r="M364" s="279"/>
    </row>
    <row r="365" spans="1:13" ht="16.5" thickBot="1" x14ac:dyDescent="0.3">
      <c r="A365" s="279">
        <v>355</v>
      </c>
      <c r="B365" s="337">
        <v>44185</v>
      </c>
      <c r="C365" s="305"/>
      <c r="D365" s="305"/>
      <c r="E365" s="314"/>
      <c r="F365" s="316"/>
      <c r="G365" s="320"/>
      <c r="H365"/>
      <c r="I365"/>
      <c r="J365" s="279"/>
      <c r="K365" s="279"/>
      <c r="L365" s="279"/>
      <c r="M365" s="279"/>
    </row>
    <row r="366" spans="1:13" x14ac:dyDescent="0.25">
      <c r="A366" s="279">
        <v>356</v>
      </c>
      <c r="B366" s="338">
        <v>44186</v>
      </c>
      <c r="C366" s="344" t="s">
        <v>7</v>
      </c>
      <c r="D366" s="344" t="s">
        <v>6</v>
      </c>
      <c r="E366" s="315"/>
      <c r="F366" s="315"/>
      <c r="G366" s="321"/>
      <c r="H366"/>
      <c r="I366"/>
      <c r="J366" s="279"/>
      <c r="K366" s="279"/>
      <c r="L366" s="279"/>
      <c r="M366" s="279"/>
    </row>
    <row r="367" spans="1:13" x14ac:dyDescent="0.25">
      <c r="A367" s="279">
        <v>357</v>
      </c>
      <c r="B367" s="335">
        <v>44187</v>
      </c>
      <c r="C367" s="343" t="s">
        <v>7</v>
      </c>
      <c r="D367" s="343" t="s">
        <v>10</v>
      </c>
      <c r="E367" s="313"/>
      <c r="F367" s="313"/>
      <c r="G367" s="319"/>
      <c r="H367"/>
      <c r="I367"/>
      <c r="J367" s="279"/>
      <c r="K367" s="279"/>
      <c r="L367" s="279"/>
      <c r="M367" s="279"/>
    </row>
    <row r="368" spans="1:13" x14ac:dyDescent="0.25">
      <c r="A368" s="279">
        <v>358</v>
      </c>
      <c r="B368" s="335">
        <v>44188</v>
      </c>
      <c r="C368" s="343" t="s">
        <v>7</v>
      </c>
      <c r="D368" s="343" t="s">
        <v>2</v>
      </c>
      <c r="E368" s="313"/>
      <c r="F368" s="313"/>
      <c r="G368" s="319"/>
      <c r="H368"/>
      <c r="I368"/>
      <c r="J368" s="279"/>
      <c r="K368" s="279"/>
      <c r="L368" s="279"/>
      <c r="M368" s="279"/>
    </row>
    <row r="369" spans="1:13" x14ac:dyDescent="0.25">
      <c r="A369" s="279">
        <v>359</v>
      </c>
      <c r="B369" s="339">
        <v>44189</v>
      </c>
      <c r="C369" s="311"/>
      <c r="D369" s="311"/>
      <c r="E369" s="347" t="s">
        <v>8</v>
      </c>
      <c r="F369" s="347" t="s">
        <v>10</v>
      </c>
      <c r="G369" s="354" t="s">
        <v>5</v>
      </c>
      <c r="H369"/>
      <c r="I369"/>
      <c r="J369" s="279"/>
      <c r="K369" s="279"/>
      <c r="L369" s="279"/>
      <c r="M369" s="279"/>
    </row>
    <row r="370" spans="1:13" ht="16.5" thickBot="1" x14ac:dyDescent="0.3">
      <c r="A370" s="279">
        <v>360</v>
      </c>
      <c r="B370" s="339">
        <v>44190</v>
      </c>
      <c r="C370" s="311"/>
      <c r="D370" s="311"/>
      <c r="E370" s="347" t="s">
        <v>8</v>
      </c>
      <c r="F370" s="347" t="s">
        <v>10</v>
      </c>
      <c r="G370" s="354" t="s">
        <v>5</v>
      </c>
      <c r="H370"/>
      <c r="I370"/>
      <c r="J370" s="279"/>
      <c r="K370" s="279"/>
      <c r="L370" s="279"/>
      <c r="M370" s="279"/>
    </row>
    <row r="371" spans="1:13" x14ac:dyDescent="0.25">
      <c r="A371" s="279">
        <v>361</v>
      </c>
      <c r="B371" s="341">
        <v>44191</v>
      </c>
      <c r="C371" s="301"/>
      <c r="D371" s="301"/>
      <c r="E371" s="349" t="s">
        <v>8</v>
      </c>
      <c r="F371" s="351" t="s">
        <v>10</v>
      </c>
      <c r="G371" s="355" t="s">
        <v>5</v>
      </c>
      <c r="H371"/>
      <c r="I371"/>
      <c r="J371" s="279"/>
      <c r="K371" s="279"/>
      <c r="L371" s="279"/>
      <c r="M371" s="279"/>
    </row>
    <row r="372" spans="1:13" ht="16.5" thickBot="1" x14ac:dyDescent="0.3">
      <c r="A372" s="279">
        <v>362</v>
      </c>
      <c r="B372" s="337">
        <v>44192</v>
      </c>
      <c r="C372" s="305"/>
      <c r="D372" s="305"/>
      <c r="E372" s="314"/>
      <c r="F372" s="316"/>
      <c r="G372" s="320"/>
      <c r="H372"/>
      <c r="I372"/>
      <c r="J372" s="279"/>
      <c r="K372" s="279"/>
      <c r="L372" s="279"/>
      <c r="M372" s="279"/>
    </row>
    <row r="373" spans="1:13" x14ac:dyDescent="0.25">
      <c r="A373" s="279">
        <v>363</v>
      </c>
      <c r="B373" s="338">
        <v>44193</v>
      </c>
      <c r="C373" s="344" t="s">
        <v>2</v>
      </c>
      <c r="D373" s="344" t="s">
        <v>4</v>
      </c>
      <c r="E373" s="315"/>
      <c r="F373" s="315"/>
      <c r="G373" s="321"/>
      <c r="H373"/>
      <c r="I373"/>
      <c r="J373" s="279"/>
      <c r="K373" s="279"/>
      <c r="L373" s="279"/>
      <c r="M373" s="279"/>
    </row>
    <row r="374" spans="1:13" x14ac:dyDescent="0.25">
      <c r="A374" s="279">
        <v>364</v>
      </c>
      <c r="B374" s="335">
        <v>44194</v>
      </c>
      <c r="C374" s="343" t="s">
        <v>2</v>
      </c>
      <c r="D374" s="343" t="s">
        <v>6</v>
      </c>
      <c r="E374" s="313"/>
      <c r="F374" s="313"/>
      <c r="G374" s="319"/>
      <c r="H374"/>
      <c r="I374"/>
      <c r="J374" s="279"/>
      <c r="K374" s="279"/>
      <c r="L374" s="279"/>
      <c r="M374" s="279"/>
    </row>
    <row r="375" spans="1:13" x14ac:dyDescent="0.25">
      <c r="A375" s="279">
        <v>365</v>
      </c>
      <c r="B375" s="335">
        <v>44195</v>
      </c>
      <c r="C375" s="343" t="s">
        <v>2</v>
      </c>
      <c r="D375" s="343" t="s">
        <v>147</v>
      </c>
      <c r="E375" s="313"/>
      <c r="F375" s="313"/>
      <c r="G375" s="319"/>
      <c r="H375"/>
      <c r="I375"/>
    </row>
    <row r="376" spans="1:13" x14ac:dyDescent="0.25">
      <c r="A376" s="270">
        <v>366</v>
      </c>
      <c r="B376" s="334">
        <v>44196</v>
      </c>
      <c r="C376" s="342" t="s">
        <v>2</v>
      </c>
      <c r="D376" s="342" t="s">
        <v>3</v>
      </c>
      <c r="E376" s="308"/>
      <c r="F376" s="308"/>
      <c r="G376" s="318"/>
      <c r="I376"/>
    </row>
    <row r="377" spans="1:13" x14ac:dyDescent="0.25">
      <c r="B377" s="358"/>
      <c r="C377" s="358"/>
      <c r="D377" s="358"/>
      <c r="E377" s="358"/>
      <c r="F377" s="358"/>
      <c r="G377" s="358"/>
      <c r="I377"/>
    </row>
    <row r="378" spans="1:13" x14ac:dyDescent="0.25">
      <c r="C378" s="274"/>
      <c r="D378" s="274"/>
      <c r="E378" s="274"/>
      <c r="I378"/>
    </row>
    <row r="379" spans="1:13" x14ac:dyDescent="0.25">
      <c r="C379" s="274"/>
      <c r="D379" s="274"/>
      <c r="E379" s="274"/>
      <c r="I379" s="358"/>
    </row>
    <row r="380" spans="1:13" x14ac:dyDescent="0.25">
      <c r="C380" s="274"/>
      <c r="D380" s="274"/>
      <c r="E380" s="274"/>
      <c r="I380" s="358"/>
    </row>
    <row r="381" spans="1:13" x14ac:dyDescent="0.25">
      <c r="C381" s="274"/>
      <c r="D381" s="274"/>
      <c r="E381" s="274"/>
    </row>
    <row r="382" spans="1:13" x14ac:dyDescent="0.25">
      <c r="C382" s="274"/>
      <c r="D382" s="274"/>
      <c r="E382" s="274"/>
    </row>
    <row r="383" spans="1:13" x14ac:dyDescent="0.25">
      <c r="C383" s="274"/>
      <c r="D383" s="274"/>
      <c r="E383" s="274"/>
    </row>
    <row r="384" spans="1:13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1" r:id="rId4" name="RecalcBttn">
          <controlPr defaultSize="0" autoLine="0" r:id="rId5">
            <anchor moveWithCells="1">
              <from>
                <xdr:col>11</xdr:col>
                <xdr:colOff>104775</xdr:colOff>
                <xdr:row>12</xdr:row>
                <xdr:rowOff>66675</xdr:rowOff>
              </from>
              <to>
                <xdr:col>12</xdr:col>
                <xdr:colOff>466725</xdr:colOff>
                <xdr:row>14</xdr:row>
                <xdr:rowOff>38100</xdr:rowOff>
              </to>
            </anchor>
          </controlPr>
        </control>
      </mc:Choice>
      <mc:Fallback>
        <control shapeId="9221" r:id="rId4" name="RecalcBttn"/>
      </mc:Fallback>
    </mc:AlternateContent>
    <mc:AlternateContent xmlns:mc="http://schemas.openxmlformats.org/markup-compatibility/2006">
      <mc:Choice Requires="x14">
        <control shapeId="9220" r:id="rId6" name="deletebttn1">
          <controlPr defaultSize="0" autoLine="0" r:id="rId7">
            <anchor moveWithCells="1">
              <from>
                <xdr:col>11</xdr:col>
                <xdr:colOff>142875</xdr:colOff>
                <xdr:row>10</xdr:row>
                <xdr:rowOff>76200</xdr:rowOff>
              </from>
              <to>
                <xdr:col>11</xdr:col>
                <xdr:colOff>1009650</xdr:colOff>
                <xdr:row>11</xdr:row>
                <xdr:rowOff>171450</xdr:rowOff>
              </to>
            </anchor>
          </controlPr>
        </control>
      </mc:Choice>
      <mc:Fallback>
        <control shapeId="9220" r:id="rId6" name="deletebttn1"/>
      </mc:Fallback>
    </mc:AlternateContent>
    <mc:AlternateContent xmlns:mc="http://schemas.openxmlformats.org/markup-compatibility/2006">
      <mc:Choice Requires="x14">
        <control shapeId="9217" r:id="rId8" name="CalcSchTest1">
          <controlPr defaultSize="0" autoLine="0" r:id="rId9">
            <anchor moveWithCells="1">
              <from>
                <xdr:col>9</xdr:col>
                <xdr:colOff>66675</xdr:colOff>
                <xdr:row>8</xdr:row>
                <xdr:rowOff>66675</xdr:rowOff>
              </from>
              <to>
                <xdr:col>11</xdr:col>
                <xdr:colOff>114300</xdr:colOff>
                <xdr:row>11</xdr:row>
                <xdr:rowOff>180975</xdr:rowOff>
              </to>
            </anchor>
          </controlPr>
        </control>
      </mc:Choice>
      <mc:Fallback>
        <control shapeId="9217" r:id="rId8" name="CalcSchTest1"/>
      </mc:Fallback>
    </mc:AlternateContent>
    <mc:AlternateContent xmlns:mc="http://schemas.openxmlformats.org/markup-compatibility/2006">
      <mc:Choice Requires="x14">
        <control shapeId="9218" r:id="rId10" name="CheckMistakes">
          <controlPr defaultSize="0" autoLine="0" r:id="rId11">
            <anchor moveWithCells="1">
              <from>
                <xdr:col>11</xdr:col>
                <xdr:colOff>190500</xdr:colOff>
                <xdr:row>8</xdr:row>
                <xdr:rowOff>95250</xdr:rowOff>
              </from>
              <to>
                <xdr:col>12</xdr:col>
                <xdr:colOff>104775</xdr:colOff>
                <xdr:row>10</xdr:row>
                <xdr:rowOff>57150</xdr:rowOff>
              </to>
            </anchor>
          </controlPr>
        </control>
      </mc:Choice>
      <mc:Fallback>
        <control shapeId="9218" r:id="rId10" name="CheckMistak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D047-231A-4BAB-84F1-CF3B3E691024}">
  <sheetPr codeName="List9"/>
  <dimension ref="A1:Q393"/>
  <sheetViews>
    <sheetView tabSelected="1" zoomScaleNormal="100" workbookViewId="0">
      <selection activeCell="J28" sqref="J28"/>
    </sheetView>
  </sheetViews>
  <sheetFormatPr defaultRowHeight="15.75" x14ac:dyDescent="0.25"/>
  <cols>
    <col min="1" max="1" width="17.710937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369" t="s">
        <v>380</v>
      </c>
      <c r="B1" s="370" t="s">
        <v>3</v>
      </c>
      <c r="C1" s="370" t="s">
        <v>4</v>
      </c>
      <c r="D1" s="370" t="s">
        <v>91</v>
      </c>
      <c r="E1" s="370" t="s">
        <v>7</v>
      </c>
      <c r="F1" s="370" t="s">
        <v>8</v>
      </c>
      <c r="G1" s="370" t="s">
        <v>10</v>
      </c>
      <c r="H1" s="370" t="s">
        <v>147</v>
      </c>
      <c r="I1" s="370" t="s">
        <v>2</v>
      </c>
      <c r="J1" s="370" t="s">
        <v>5</v>
      </c>
      <c r="K1" s="266"/>
      <c r="L1" s="267"/>
    </row>
    <row r="2" spans="1:17" x14ac:dyDescent="0.25">
      <c r="A2" s="371" t="s">
        <v>410</v>
      </c>
      <c r="B2" s="372">
        <v>3</v>
      </c>
      <c r="C2" s="372">
        <v>3</v>
      </c>
      <c r="D2" s="372">
        <v>3</v>
      </c>
      <c r="E2" s="372">
        <v>3</v>
      </c>
      <c r="F2" s="372">
        <v>3</v>
      </c>
      <c r="G2" s="372">
        <v>2</v>
      </c>
      <c r="H2" s="372">
        <v>3</v>
      </c>
      <c r="I2" s="372">
        <v>3</v>
      </c>
      <c r="J2" s="372">
        <v>4</v>
      </c>
      <c r="K2" s="280"/>
      <c r="L2" s="285"/>
      <c r="M2" s="272"/>
    </row>
    <row r="3" spans="1:17" x14ac:dyDescent="0.25">
      <c r="A3" s="373" t="s">
        <v>387</v>
      </c>
      <c r="B3" s="374">
        <v>2</v>
      </c>
      <c r="C3" s="374">
        <v>2</v>
      </c>
      <c r="D3" s="374">
        <v>2</v>
      </c>
      <c r="E3" s="374">
        <v>2</v>
      </c>
      <c r="F3" s="374">
        <v>2</v>
      </c>
      <c r="G3" s="374">
        <v>2</v>
      </c>
      <c r="H3" s="374">
        <v>2</v>
      </c>
      <c r="I3" s="374">
        <v>2</v>
      </c>
      <c r="J3" s="374">
        <v>2</v>
      </c>
      <c r="K3" s="286"/>
      <c r="L3" s="288"/>
      <c r="M3" s="272"/>
      <c r="N3" s="274"/>
      <c r="O3" s="274"/>
      <c r="P3" s="274"/>
      <c r="Q3" s="274"/>
    </row>
    <row r="4" spans="1:17" ht="16.5" thickBot="1" x14ac:dyDescent="0.3">
      <c r="A4" s="375" t="s">
        <v>388</v>
      </c>
      <c r="B4" s="376"/>
      <c r="C4" s="376"/>
      <c r="D4" s="376"/>
      <c r="E4" s="376"/>
      <c r="F4" s="376">
        <v>1</v>
      </c>
      <c r="G4" s="376"/>
      <c r="H4" s="376">
        <v>1</v>
      </c>
      <c r="I4" s="376"/>
      <c r="J4" s="376"/>
      <c r="K4" s="289"/>
      <c r="L4" s="291"/>
      <c r="M4" s="272"/>
      <c r="N4" s="274"/>
      <c r="O4" s="274"/>
      <c r="P4" s="274"/>
      <c r="Q4" s="274"/>
    </row>
    <row r="5" spans="1:17" x14ac:dyDescent="0.25">
      <c r="A5" s="377" t="s">
        <v>389</v>
      </c>
      <c r="B5" s="378">
        <v>1</v>
      </c>
      <c r="C5" s="378"/>
      <c r="D5" s="378"/>
      <c r="E5" s="378">
        <v>1</v>
      </c>
      <c r="F5" s="378"/>
      <c r="G5" s="378"/>
      <c r="H5" s="378"/>
      <c r="I5" s="378">
        <v>1</v>
      </c>
      <c r="J5" s="378">
        <v>1</v>
      </c>
      <c r="K5" s="292"/>
      <c r="L5" s="293"/>
      <c r="M5" s="272"/>
      <c r="N5" s="274"/>
      <c r="O5" s="274"/>
      <c r="P5" s="266" t="s">
        <v>146</v>
      </c>
      <c r="Q5" s="274"/>
    </row>
    <row r="6" spans="1:17" x14ac:dyDescent="0.25">
      <c r="A6" s="379" t="s">
        <v>411</v>
      </c>
      <c r="B6" s="380"/>
      <c r="C6" s="380">
        <v>1</v>
      </c>
      <c r="D6" s="380">
        <v>1</v>
      </c>
      <c r="E6" s="380"/>
      <c r="F6" s="380"/>
      <c r="G6" s="380"/>
      <c r="H6" s="380"/>
      <c r="I6" s="380"/>
      <c r="J6" s="380">
        <v>1</v>
      </c>
      <c r="K6" s="356"/>
      <c r="L6" s="362"/>
      <c r="M6" s="272"/>
      <c r="N6" s="274"/>
      <c r="O6" s="274"/>
      <c r="P6" s="274"/>
      <c r="Q6" s="274"/>
    </row>
    <row r="7" spans="1:17" ht="16.5" thickBot="1" x14ac:dyDescent="0.3">
      <c r="A7" s="381" t="s">
        <v>412</v>
      </c>
      <c r="B7" s="382"/>
      <c r="C7" s="382"/>
      <c r="D7" s="382"/>
      <c r="E7" s="382"/>
      <c r="F7" s="382"/>
      <c r="G7" s="382"/>
      <c r="H7" s="382"/>
      <c r="I7" s="382"/>
      <c r="J7" s="382"/>
      <c r="K7" s="364"/>
      <c r="L7" s="365"/>
      <c r="M7" s="278"/>
      <c r="N7" s="268"/>
      <c r="O7" s="268"/>
      <c r="P7" s="268"/>
      <c r="Q7" s="268"/>
    </row>
    <row r="8" spans="1:17" x14ac:dyDescent="0.25">
      <c r="A8" s="279"/>
      <c r="B8" s="279" t="s">
        <v>379</v>
      </c>
      <c r="C8" s="360" t="s">
        <v>385</v>
      </c>
      <c r="D8" s="274"/>
      <c r="E8" s="280" t="s">
        <v>20</v>
      </c>
      <c r="J8" s="279"/>
      <c r="K8" s="279">
        <v>1</v>
      </c>
      <c r="L8" s="279"/>
      <c r="M8" s="279"/>
      <c r="N8" s="274"/>
      <c r="O8" s="274"/>
      <c r="P8" s="274"/>
      <c r="Q8" s="274"/>
    </row>
    <row r="9" spans="1:17" x14ac:dyDescent="0.25">
      <c r="A9" s="279"/>
      <c r="B9"/>
      <c r="C9" s="274" t="s">
        <v>378</v>
      </c>
      <c r="D9" s="312" t="s">
        <v>382</v>
      </c>
      <c r="E9" s="280" t="s">
        <v>383</v>
      </c>
      <c r="F9" s="317" t="s">
        <v>384</v>
      </c>
      <c r="H9" s="302" t="s">
        <v>405</v>
      </c>
      <c r="I9" s="294">
        <v>43862</v>
      </c>
      <c r="J9" s="279"/>
      <c r="K9" s="279"/>
      <c r="L9" s="279"/>
      <c r="M9" s="279"/>
      <c r="O9" s="274"/>
      <c r="P9" s="274"/>
      <c r="Q9" s="274"/>
    </row>
    <row r="10" spans="1:17" x14ac:dyDescent="0.25">
      <c r="A10" s="279">
        <v>1</v>
      </c>
      <c r="B10" s="388">
        <v>43831</v>
      </c>
      <c r="C10" s="328"/>
      <c r="D10" s="328"/>
      <c r="E10" s="328"/>
      <c r="F10" s="383"/>
      <c r="G10"/>
      <c r="H10" s="302" t="s">
        <v>406</v>
      </c>
      <c r="I10" s="294">
        <v>44196</v>
      </c>
      <c r="J10"/>
      <c r="K10" s="279"/>
      <c r="L10" s="279"/>
      <c r="M10" s="279"/>
      <c r="O10" s="274"/>
      <c r="P10" s="274"/>
      <c r="Q10" s="274"/>
    </row>
    <row r="11" spans="1:17" x14ac:dyDescent="0.25">
      <c r="A11" s="279">
        <v>2</v>
      </c>
      <c r="B11" s="390">
        <v>43832</v>
      </c>
      <c r="C11" s="343" t="s">
        <v>4</v>
      </c>
      <c r="D11" s="313"/>
      <c r="E11" s="313"/>
      <c r="F11" s="319"/>
      <c r="G11"/>
      <c r="H11"/>
      <c r="I11"/>
      <c r="J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3</v>
      </c>
      <c r="B12" s="390">
        <v>43833</v>
      </c>
      <c r="C12" s="343" t="s">
        <v>90</v>
      </c>
      <c r="D12" s="313"/>
      <c r="E12" s="313"/>
      <c r="F12" s="319"/>
      <c r="G12"/>
      <c r="H12"/>
      <c r="I12"/>
      <c r="J12"/>
      <c r="L12" s="279"/>
      <c r="M12" s="279"/>
      <c r="O12" s="274"/>
      <c r="P12" s="274"/>
      <c r="Q12" s="274"/>
    </row>
    <row r="13" spans="1:17" x14ac:dyDescent="0.25">
      <c r="A13" s="279">
        <v>4</v>
      </c>
      <c r="B13" s="391">
        <v>43834</v>
      </c>
      <c r="C13" s="305"/>
      <c r="D13" s="384" t="s">
        <v>147</v>
      </c>
      <c r="E13" s="385" t="s">
        <v>5</v>
      </c>
      <c r="F13" s="386" t="s">
        <v>91</v>
      </c>
      <c r="G13"/>
      <c r="H13"/>
      <c r="I13"/>
      <c r="J13"/>
      <c r="L13" s="279"/>
      <c r="M13" s="279"/>
    </row>
    <row r="14" spans="1:17" x14ac:dyDescent="0.25">
      <c r="A14" s="279">
        <v>5</v>
      </c>
      <c r="B14" s="391">
        <v>43835</v>
      </c>
      <c r="C14" s="305"/>
      <c r="D14" s="314"/>
      <c r="E14" s="316"/>
      <c r="F14" s="387"/>
      <c r="G14"/>
      <c r="H14"/>
      <c r="I14"/>
      <c r="J14"/>
      <c r="K14" s="295"/>
      <c r="L14" s="279"/>
      <c r="M14" s="279"/>
    </row>
    <row r="15" spans="1:17" x14ac:dyDescent="0.25">
      <c r="A15" s="279">
        <v>6</v>
      </c>
      <c r="B15" s="390">
        <v>43836</v>
      </c>
      <c r="C15" s="343" t="s">
        <v>3</v>
      </c>
      <c r="D15" s="313"/>
      <c r="E15" s="313"/>
      <c r="F15" s="319"/>
      <c r="G15"/>
      <c r="H15"/>
      <c r="I15"/>
      <c r="J15"/>
      <c r="K15" s="295"/>
      <c r="M15" s="279"/>
    </row>
    <row r="16" spans="1:17" x14ac:dyDescent="0.25">
      <c r="A16" s="279">
        <v>7</v>
      </c>
      <c r="B16" s="390">
        <v>43837</v>
      </c>
      <c r="C16" s="343" t="s">
        <v>6</v>
      </c>
      <c r="D16" s="313"/>
      <c r="E16" s="313"/>
      <c r="F16" s="319"/>
      <c r="G16"/>
      <c r="H16"/>
      <c r="I16"/>
      <c r="J16"/>
      <c r="L16" s="279"/>
      <c r="M16" s="279"/>
      <c r="N16"/>
    </row>
    <row r="17" spans="1:14" x14ac:dyDescent="0.25">
      <c r="A17" s="279">
        <v>8</v>
      </c>
      <c r="B17" s="390">
        <v>43838</v>
      </c>
      <c r="C17" s="343" t="s">
        <v>10</v>
      </c>
      <c r="D17" s="313"/>
      <c r="E17" s="313"/>
      <c r="F17" s="319"/>
      <c r="G17"/>
      <c r="H17"/>
      <c r="I17"/>
      <c r="J17"/>
      <c r="K17" s="279"/>
      <c r="L17" s="279"/>
      <c r="M17" s="279"/>
      <c r="N17"/>
    </row>
    <row r="18" spans="1:14" x14ac:dyDescent="0.25">
      <c r="A18" s="279">
        <v>9</v>
      </c>
      <c r="B18" s="390">
        <v>43839</v>
      </c>
      <c r="C18" s="343" t="s">
        <v>8</v>
      </c>
      <c r="D18" s="313"/>
      <c r="E18" s="313"/>
      <c r="F18" s="319"/>
      <c r="G18"/>
      <c r="H18"/>
      <c r="I18"/>
      <c r="J18"/>
      <c r="K18" s="279"/>
      <c r="L18" s="279"/>
      <c r="M18" s="279"/>
      <c r="N18"/>
    </row>
    <row r="19" spans="1:14" x14ac:dyDescent="0.25">
      <c r="A19" s="279">
        <v>10</v>
      </c>
      <c r="B19" s="390">
        <v>43840</v>
      </c>
      <c r="C19" s="343" t="s">
        <v>7</v>
      </c>
      <c r="D19" s="313"/>
      <c r="E19" s="313"/>
      <c r="F19" s="319"/>
      <c r="G19"/>
      <c r="H19"/>
      <c r="I19"/>
      <c r="J19"/>
      <c r="K19" s="279"/>
      <c r="L19" s="279"/>
      <c r="M19" s="279"/>
      <c r="N19"/>
    </row>
    <row r="20" spans="1:14" x14ac:dyDescent="0.25">
      <c r="A20" s="279">
        <v>11</v>
      </c>
      <c r="B20" s="391">
        <v>43841</v>
      </c>
      <c r="C20" s="305"/>
      <c r="D20" s="384" t="s">
        <v>90</v>
      </c>
      <c r="E20" s="385" t="s">
        <v>3</v>
      </c>
      <c r="F20" s="386" t="s">
        <v>4</v>
      </c>
      <c r="G20"/>
      <c r="H20"/>
      <c r="I20"/>
      <c r="J20"/>
      <c r="K20" s="279"/>
      <c r="L20" s="279"/>
      <c r="M20" s="279"/>
      <c r="N20"/>
    </row>
    <row r="21" spans="1:14" x14ac:dyDescent="0.25">
      <c r="A21" s="279">
        <v>12</v>
      </c>
      <c r="B21" s="391">
        <v>43842</v>
      </c>
      <c r="C21" s="305"/>
      <c r="D21" s="314"/>
      <c r="E21" s="316"/>
      <c r="F21" s="387"/>
      <c r="G21"/>
      <c r="H21"/>
      <c r="I21"/>
      <c r="J21"/>
      <c r="K21" s="279"/>
      <c r="L21" s="279"/>
      <c r="M21" s="279"/>
      <c r="N21"/>
    </row>
    <row r="22" spans="1:14" x14ac:dyDescent="0.25">
      <c r="A22" s="279">
        <v>13</v>
      </c>
      <c r="B22" s="390">
        <v>43843</v>
      </c>
      <c r="C22" s="343" t="s">
        <v>5</v>
      </c>
      <c r="D22" s="313"/>
      <c r="E22" s="313"/>
      <c r="F22" s="319"/>
      <c r="G22"/>
      <c r="H22"/>
      <c r="I22"/>
      <c r="J22"/>
      <c r="K22" s="279"/>
      <c r="L22" s="279"/>
      <c r="M22" s="279"/>
      <c r="N22"/>
    </row>
    <row r="23" spans="1:14" x14ac:dyDescent="0.25">
      <c r="A23" s="279">
        <v>14</v>
      </c>
      <c r="B23" s="390">
        <v>43844</v>
      </c>
      <c r="C23" s="343" t="s">
        <v>147</v>
      </c>
      <c r="D23" s="313"/>
      <c r="E23" s="313"/>
      <c r="F23" s="319"/>
      <c r="G23"/>
      <c r="H23"/>
      <c r="I23"/>
      <c r="J23"/>
      <c r="K23" s="279"/>
      <c r="L23" s="279"/>
      <c r="M23" s="279"/>
      <c r="N23"/>
    </row>
    <row r="24" spans="1:14" x14ac:dyDescent="0.25">
      <c r="A24" s="279">
        <v>15</v>
      </c>
      <c r="B24" s="390">
        <v>43845</v>
      </c>
      <c r="C24" s="343" t="s">
        <v>2</v>
      </c>
      <c r="D24" s="313"/>
      <c r="E24" s="313"/>
      <c r="F24" s="319"/>
      <c r="G24"/>
      <c r="H24"/>
      <c r="I24"/>
      <c r="J24"/>
      <c r="K24" s="279"/>
      <c r="L24" s="279"/>
      <c r="M24" s="279"/>
      <c r="N24"/>
    </row>
    <row r="25" spans="1:14" x14ac:dyDescent="0.25">
      <c r="A25" s="279">
        <v>16</v>
      </c>
      <c r="B25" s="390">
        <v>43846</v>
      </c>
      <c r="C25" s="343" t="s">
        <v>91</v>
      </c>
      <c r="D25" s="313"/>
      <c r="E25" s="313"/>
      <c r="F25" s="319"/>
      <c r="G25"/>
      <c r="H25"/>
      <c r="I25"/>
      <c r="J25"/>
      <c r="K25" s="279"/>
      <c r="L25" s="279"/>
      <c r="M25" s="279"/>
      <c r="N25"/>
    </row>
    <row r="26" spans="1:14" x14ac:dyDescent="0.25">
      <c r="A26" s="279">
        <v>17</v>
      </c>
      <c r="B26" s="390">
        <v>43847</v>
      </c>
      <c r="C26" s="343" t="s">
        <v>4</v>
      </c>
      <c r="D26" s="313"/>
      <c r="E26" s="313"/>
      <c r="F26" s="319"/>
      <c r="G26"/>
      <c r="H26"/>
      <c r="I26"/>
      <c r="J26"/>
      <c r="K26" s="279"/>
      <c r="L26" s="279"/>
      <c r="M26" s="279"/>
      <c r="N26"/>
    </row>
    <row r="27" spans="1:14" x14ac:dyDescent="0.25">
      <c r="A27" s="279">
        <v>18</v>
      </c>
      <c r="B27" s="391">
        <v>43848</v>
      </c>
      <c r="C27" s="305"/>
      <c r="D27" s="384" t="s">
        <v>6</v>
      </c>
      <c r="E27" s="385" t="s">
        <v>2</v>
      </c>
      <c r="F27" s="386" t="s">
        <v>6</v>
      </c>
      <c r="G27"/>
      <c r="H27"/>
      <c r="I27"/>
      <c r="J27"/>
      <c r="K27" s="279"/>
      <c r="L27" s="279"/>
      <c r="M27" s="279"/>
      <c r="N27"/>
    </row>
    <row r="28" spans="1:14" x14ac:dyDescent="0.25">
      <c r="A28" s="279">
        <v>19</v>
      </c>
      <c r="B28" s="391">
        <v>43849</v>
      </c>
      <c r="C28" s="305"/>
      <c r="D28" s="314"/>
      <c r="E28" s="316"/>
      <c r="F28" s="387"/>
      <c r="G28"/>
      <c r="H28"/>
      <c r="I28"/>
      <c r="J28"/>
      <c r="K28" s="279"/>
      <c r="L28" s="279"/>
      <c r="M28" s="279"/>
      <c r="N28"/>
    </row>
    <row r="29" spans="1:14" x14ac:dyDescent="0.25">
      <c r="A29" s="279">
        <v>20</v>
      </c>
      <c r="B29" s="390">
        <v>43850</v>
      </c>
      <c r="C29" s="343" t="s">
        <v>90</v>
      </c>
      <c r="D29" s="313"/>
      <c r="E29" s="313"/>
      <c r="F29" s="319"/>
      <c r="G29"/>
      <c r="H29"/>
      <c r="I29"/>
      <c r="J29"/>
      <c r="K29" s="279"/>
      <c r="L29" s="279"/>
      <c r="M29" s="279"/>
      <c r="N29"/>
    </row>
    <row r="30" spans="1:14" x14ac:dyDescent="0.25">
      <c r="A30" s="279">
        <v>21</v>
      </c>
      <c r="B30" s="390">
        <v>43851</v>
      </c>
      <c r="C30" s="343" t="s">
        <v>3</v>
      </c>
      <c r="D30" s="313"/>
      <c r="E30" s="313"/>
      <c r="F30" s="319"/>
      <c r="G30"/>
      <c r="H30"/>
      <c r="I30"/>
      <c r="J30"/>
      <c r="K30" s="279"/>
      <c r="L30" s="279"/>
      <c r="M30" s="279"/>
      <c r="N30"/>
    </row>
    <row r="31" spans="1:14" x14ac:dyDescent="0.25">
      <c r="A31" s="279">
        <v>22</v>
      </c>
      <c r="B31" s="390">
        <v>43852</v>
      </c>
      <c r="C31" s="343" t="s">
        <v>6</v>
      </c>
      <c r="D31" s="313"/>
      <c r="E31" s="313"/>
      <c r="F31" s="319"/>
      <c r="G31"/>
      <c r="H31"/>
      <c r="I31"/>
      <c r="J31"/>
      <c r="K31" s="279"/>
      <c r="L31" s="279"/>
      <c r="M31" s="279"/>
      <c r="N31"/>
    </row>
    <row r="32" spans="1:14" x14ac:dyDescent="0.25">
      <c r="A32" s="279">
        <v>23</v>
      </c>
      <c r="B32" s="390">
        <v>43853</v>
      </c>
      <c r="C32" s="343" t="s">
        <v>10</v>
      </c>
      <c r="D32" s="313"/>
      <c r="E32" s="313"/>
      <c r="F32" s="319"/>
      <c r="G32"/>
      <c r="H32"/>
      <c r="I32"/>
      <c r="J32"/>
      <c r="K32" s="279"/>
      <c r="L32" s="279"/>
      <c r="M32" s="279"/>
      <c r="N32"/>
    </row>
    <row r="33" spans="1:14" x14ac:dyDescent="0.25">
      <c r="A33" s="279">
        <v>24</v>
      </c>
      <c r="B33" s="390">
        <v>43854</v>
      </c>
      <c r="C33" s="343" t="s">
        <v>8</v>
      </c>
      <c r="D33" s="313"/>
      <c r="E33" s="313"/>
      <c r="F33" s="319"/>
      <c r="G33"/>
      <c r="H33"/>
      <c r="I33"/>
      <c r="J33"/>
      <c r="K33" s="279"/>
      <c r="L33" s="279"/>
      <c r="M33" s="279"/>
      <c r="N33"/>
    </row>
    <row r="34" spans="1:14" x14ac:dyDescent="0.25">
      <c r="A34" s="279">
        <v>25</v>
      </c>
      <c r="B34" s="391">
        <v>43855</v>
      </c>
      <c r="C34" s="305"/>
      <c r="D34" s="384" t="s">
        <v>8</v>
      </c>
      <c r="E34" s="385" t="s">
        <v>7</v>
      </c>
      <c r="F34" s="386" t="s">
        <v>5</v>
      </c>
      <c r="G34"/>
      <c r="H34"/>
      <c r="I34"/>
      <c r="J34"/>
      <c r="K34" s="279"/>
      <c r="L34" s="279"/>
      <c r="M34" s="279"/>
      <c r="N34"/>
    </row>
    <row r="35" spans="1:14" x14ac:dyDescent="0.25">
      <c r="A35" s="279">
        <v>26</v>
      </c>
      <c r="B35" s="391">
        <v>43856</v>
      </c>
      <c r="C35" s="305"/>
      <c r="D35" s="314"/>
      <c r="E35" s="316"/>
      <c r="F35" s="387"/>
      <c r="G35"/>
      <c r="H35"/>
      <c r="I35"/>
      <c r="J35"/>
      <c r="K35" s="279"/>
      <c r="L35" s="279"/>
      <c r="M35" s="279"/>
      <c r="N35"/>
    </row>
    <row r="36" spans="1:14" x14ac:dyDescent="0.25">
      <c r="A36" s="279">
        <v>27</v>
      </c>
      <c r="B36" s="390">
        <v>43857</v>
      </c>
      <c r="C36" s="343" t="s">
        <v>7</v>
      </c>
      <c r="D36" s="313"/>
      <c r="E36" s="313"/>
      <c r="F36" s="319"/>
      <c r="G36"/>
      <c r="H36"/>
      <c r="I36"/>
      <c r="J36"/>
      <c r="K36" s="279"/>
      <c r="L36" s="279"/>
      <c r="M36" s="279"/>
      <c r="N36"/>
    </row>
    <row r="37" spans="1:14" x14ac:dyDescent="0.25">
      <c r="A37" s="279">
        <v>28</v>
      </c>
      <c r="B37" s="390">
        <v>43858</v>
      </c>
      <c r="C37" s="343" t="s">
        <v>5</v>
      </c>
      <c r="D37" s="313"/>
      <c r="E37" s="313"/>
      <c r="F37" s="319"/>
      <c r="G37"/>
      <c r="H37"/>
      <c r="I37"/>
      <c r="J37"/>
      <c r="K37" s="279"/>
      <c r="L37" s="279"/>
      <c r="M37" s="279"/>
      <c r="N37"/>
    </row>
    <row r="38" spans="1:14" x14ac:dyDescent="0.25">
      <c r="A38" s="279">
        <v>29</v>
      </c>
      <c r="B38" s="390">
        <v>43859</v>
      </c>
      <c r="C38" s="343" t="s">
        <v>147</v>
      </c>
      <c r="D38" s="313"/>
      <c r="E38" s="313"/>
      <c r="F38" s="319"/>
      <c r="G38"/>
      <c r="H38"/>
      <c r="I38"/>
      <c r="J38"/>
      <c r="K38" s="279"/>
      <c r="L38" s="279"/>
      <c r="M38" s="279"/>
      <c r="N38"/>
    </row>
    <row r="39" spans="1:14" x14ac:dyDescent="0.25">
      <c r="A39" s="279">
        <v>30</v>
      </c>
      <c r="B39" s="390">
        <v>43860</v>
      </c>
      <c r="C39" s="343" t="s">
        <v>2</v>
      </c>
      <c r="D39" s="313"/>
      <c r="E39" s="313"/>
      <c r="F39" s="319"/>
      <c r="G39"/>
      <c r="H39"/>
      <c r="I39"/>
      <c r="J39"/>
      <c r="K39" s="279"/>
      <c r="L39" s="279"/>
      <c r="M39" s="279"/>
      <c r="N39"/>
    </row>
    <row r="40" spans="1:14" x14ac:dyDescent="0.25">
      <c r="A40" s="279">
        <v>31</v>
      </c>
      <c r="B40" s="390">
        <v>43861</v>
      </c>
      <c r="C40" s="343" t="s">
        <v>91</v>
      </c>
      <c r="D40" s="313"/>
      <c r="E40" s="313"/>
      <c r="F40" s="319"/>
      <c r="G40"/>
      <c r="H40"/>
      <c r="I40"/>
      <c r="J40"/>
      <c r="K40" s="279"/>
      <c r="L40" s="279"/>
      <c r="M40" s="279"/>
      <c r="N40"/>
    </row>
    <row r="41" spans="1:14" x14ac:dyDescent="0.25">
      <c r="A41" s="279">
        <v>32</v>
      </c>
      <c r="B41" s="391">
        <v>43862</v>
      </c>
      <c r="C41"/>
      <c r="D41"/>
      <c r="E41"/>
      <c r="F41"/>
      <c r="G41"/>
      <c r="H41"/>
      <c r="I41"/>
      <c r="J41"/>
      <c r="K41" s="279"/>
      <c r="L41" s="279"/>
      <c r="M41" s="279"/>
      <c r="N41"/>
    </row>
    <row r="42" spans="1:14" x14ac:dyDescent="0.25">
      <c r="A42" s="279">
        <v>33</v>
      </c>
      <c r="B42" s="391">
        <v>43863</v>
      </c>
      <c r="C42"/>
      <c r="D42"/>
      <c r="E42"/>
      <c r="F42"/>
      <c r="G42"/>
      <c r="H42"/>
      <c r="I42"/>
      <c r="J42"/>
      <c r="K42" s="279"/>
      <c r="L42" s="279"/>
      <c r="M42" s="279"/>
      <c r="N42"/>
    </row>
    <row r="43" spans="1:14" x14ac:dyDescent="0.25">
      <c r="A43" s="279">
        <v>34</v>
      </c>
      <c r="B43" s="390">
        <v>43864</v>
      </c>
      <c r="C43"/>
      <c r="D43"/>
      <c r="E43"/>
      <c r="F43"/>
      <c r="G43"/>
      <c r="H43"/>
      <c r="I43"/>
      <c r="J43"/>
      <c r="K43" s="279"/>
      <c r="L43" s="279"/>
      <c r="M43" s="279"/>
      <c r="N43"/>
    </row>
    <row r="44" spans="1:14" x14ac:dyDescent="0.25">
      <c r="A44" s="279">
        <v>35</v>
      </c>
      <c r="B44" s="390">
        <v>43865</v>
      </c>
      <c r="C44"/>
      <c r="D44"/>
      <c r="E44"/>
      <c r="F44"/>
      <c r="G44"/>
      <c r="H44"/>
      <c r="I44"/>
      <c r="J44"/>
      <c r="K44" s="279"/>
      <c r="L44" s="279"/>
      <c r="M44" s="279"/>
      <c r="N44"/>
    </row>
    <row r="45" spans="1:14" x14ac:dyDescent="0.25">
      <c r="A45" s="279">
        <v>36</v>
      </c>
      <c r="B45" s="390">
        <v>43866</v>
      </c>
      <c r="C45"/>
      <c r="D45"/>
      <c r="E45"/>
      <c r="F45"/>
      <c r="G45"/>
      <c r="H45"/>
      <c r="I45"/>
      <c r="J45"/>
      <c r="K45" s="279"/>
      <c r="L45" s="279"/>
      <c r="M45" s="279"/>
      <c r="N45"/>
    </row>
    <row r="46" spans="1:14" x14ac:dyDescent="0.25">
      <c r="A46" s="279">
        <v>37</v>
      </c>
      <c r="B46" s="390">
        <v>43867</v>
      </c>
      <c r="C46"/>
      <c r="D46"/>
      <c r="E46"/>
      <c r="F46"/>
      <c r="G46"/>
      <c r="H46"/>
      <c r="I46"/>
      <c r="J46"/>
      <c r="K46" s="279"/>
      <c r="L46" s="279"/>
      <c r="M46" s="279"/>
      <c r="N46"/>
    </row>
    <row r="47" spans="1:14" x14ac:dyDescent="0.25">
      <c r="A47" s="279">
        <v>38</v>
      </c>
      <c r="B47" s="390">
        <v>43868</v>
      </c>
      <c r="C47"/>
      <c r="D47"/>
      <c r="E47"/>
      <c r="F47"/>
      <c r="G47"/>
      <c r="H47"/>
      <c r="I47"/>
      <c r="J47"/>
      <c r="K47" s="279"/>
      <c r="L47" s="279"/>
      <c r="M47" s="279"/>
      <c r="N47"/>
    </row>
    <row r="48" spans="1:14" x14ac:dyDescent="0.25">
      <c r="A48" s="279">
        <v>39</v>
      </c>
      <c r="B48" s="391">
        <v>43869</v>
      </c>
      <c r="C48"/>
      <c r="D48"/>
      <c r="E48"/>
      <c r="F48"/>
      <c r="G48"/>
      <c r="H48"/>
      <c r="I48"/>
      <c r="J48"/>
      <c r="K48" s="279"/>
      <c r="L48" s="279"/>
      <c r="M48" s="279"/>
      <c r="N48"/>
    </row>
    <row r="49" spans="1:14" x14ac:dyDescent="0.25">
      <c r="A49" s="279">
        <v>40</v>
      </c>
      <c r="B49" s="391">
        <v>43870</v>
      </c>
      <c r="C49"/>
      <c r="D49"/>
      <c r="E49"/>
      <c r="F49"/>
      <c r="G49"/>
      <c r="H49"/>
      <c r="I49"/>
      <c r="J49"/>
      <c r="K49" s="279"/>
      <c r="L49" s="279"/>
      <c r="M49" s="279"/>
      <c r="N49"/>
    </row>
    <row r="50" spans="1:14" x14ac:dyDescent="0.25">
      <c r="A50" s="279">
        <v>41</v>
      </c>
      <c r="B50" s="390">
        <v>43871</v>
      </c>
      <c r="C50"/>
      <c r="D50"/>
      <c r="E50"/>
      <c r="F50"/>
      <c r="G50"/>
      <c r="H50"/>
      <c r="I50"/>
      <c r="J50"/>
      <c r="K50" s="279"/>
      <c r="L50" s="279"/>
      <c r="M50" s="279"/>
      <c r="N50"/>
    </row>
    <row r="51" spans="1:14" x14ac:dyDescent="0.25">
      <c r="A51" s="279">
        <v>42</v>
      </c>
      <c r="B51" s="390">
        <v>43872</v>
      </c>
      <c r="C51"/>
      <c r="D51"/>
      <c r="E51"/>
      <c r="F51"/>
      <c r="G51"/>
      <c r="H51"/>
      <c r="I51"/>
      <c r="J51"/>
      <c r="K51" s="279"/>
      <c r="L51" s="279"/>
      <c r="M51" s="279"/>
      <c r="N51"/>
    </row>
    <row r="52" spans="1:14" x14ac:dyDescent="0.25">
      <c r="A52" s="279">
        <v>43</v>
      </c>
      <c r="B52" s="390">
        <v>43873</v>
      </c>
      <c r="C52"/>
      <c r="D52"/>
      <c r="E52"/>
      <c r="F52"/>
      <c r="G52"/>
      <c r="H52"/>
      <c r="I52"/>
      <c r="J52"/>
      <c r="K52" s="279"/>
      <c r="L52" s="279"/>
      <c r="M52" s="279"/>
      <c r="N52"/>
    </row>
    <row r="53" spans="1:14" x14ac:dyDescent="0.25">
      <c r="A53" s="279">
        <v>44</v>
      </c>
      <c r="B53" s="390">
        <v>43874</v>
      </c>
      <c r="C53"/>
      <c r="D53"/>
      <c r="E53"/>
      <c r="F53"/>
      <c r="G53"/>
      <c r="H53"/>
      <c r="I53"/>
      <c r="J53"/>
      <c r="K53" s="279"/>
      <c r="L53" s="279"/>
      <c r="M53" s="279"/>
      <c r="N53"/>
    </row>
    <row r="54" spans="1:14" x14ac:dyDescent="0.25">
      <c r="A54" s="279">
        <v>45</v>
      </c>
      <c r="B54" s="390">
        <v>43875</v>
      </c>
      <c r="C54"/>
      <c r="D54"/>
      <c r="E54"/>
      <c r="F54"/>
      <c r="G54"/>
      <c r="H54"/>
      <c r="I54"/>
      <c r="J54"/>
      <c r="K54" s="279"/>
      <c r="L54" s="279"/>
      <c r="M54" s="279"/>
      <c r="N54"/>
    </row>
    <row r="55" spans="1:14" x14ac:dyDescent="0.25">
      <c r="A55" s="279">
        <v>46</v>
      </c>
      <c r="B55" s="391">
        <v>43876</v>
      </c>
      <c r="C55"/>
      <c r="D55"/>
      <c r="E55"/>
      <c r="F55"/>
      <c r="G55"/>
      <c r="H55"/>
      <c r="I55"/>
      <c r="J55"/>
      <c r="K55" s="279"/>
      <c r="L55" s="279"/>
      <c r="M55" s="279"/>
      <c r="N55"/>
    </row>
    <row r="56" spans="1:14" x14ac:dyDescent="0.25">
      <c r="A56" s="279">
        <v>47</v>
      </c>
      <c r="B56" s="391">
        <v>43877</v>
      </c>
      <c r="C56"/>
      <c r="D56"/>
      <c r="E56"/>
      <c r="F56"/>
      <c r="G56"/>
      <c r="H56"/>
      <c r="I56"/>
      <c r="J56"/>
      <c r="K56" s="279"/>
      <c r="L56" s="279"/>
      <c r="M56" s="279"/>
      <c r="N56"/>
    </row>
    <row r="57" spans="1:14" x14ac:dyDescent="0.25">
      <c r="A57" s="279">
        <v>48</v>
      </c>
      <c r="B57" s="390">
        <v>43878</v>
      </c>
      <c r="C57"/>
      <c r="D57"/>
      <c r="E57"/>
      <c r="F57"/>
      <c r="G57"/>
      <c r="H57"/>
      <c r="I57"/>
      <c r="J57"/>
      <c r="K57" s="279"/>
      <c r="L57" s="279"/>
      <c r="M57" s="279"/>
      <c r="N57"/>
    </row>
    <row r="58" spans="1:14" x14ac:dyDescent="0.25">
      <c r="A58" s="279">
        <v>49</v>
      </c>
      <c r="B58" s="390">
        <v>43879</v>
      </c>
      <c r="C58"/>
      <c r="D58"/>
      <c r="E58"/>
      <c r="F58"/>
      <c r="G58"/>
      <c r="H58"/>
      <c r="I58"/>
      <c r="J58"/>
      <c r="K58" s="279"/>
      <c r="L58" s="279"/>
      <c r="M58" s="279"/>
      <c r="N58"/>
    </row>
    <row r="59" spans="1:14" x14ac:dyDescent="0.25">
      <c r="A59" s="279">
        <v>50</v>
      </c>
      <c r="B59" s="390">
        <v>43880</v>
      </c>
      <c r="C59"/>
      <c r="D59"/>
      <c r="E59"/>
      <c r="F59"/>
      <c r="G59"/>
      <c r="H59"/>
      <c r="I59"/>
      <c r="J59"/>
      <c r="K59" s="279"/>
      <c r="L59" s="279"/>
      <c r="M59" s="279"/>
      <c r="N59"/>
    </row>
    <row r="60" spans="1:14" x14ac:dyDescent="0.25">
      <c r="A60" s="279">
        <v>51</v>
      </c>
      <c r="B60" s="390">
        <v>43881</v>
      </c>
      <c r="C60"/>
      <c r="D60"/>
      <c r="E60"/>
      <c r="F60"/>
      <c r="G60"/>
      <c r="H60"/>
      <c r="I60"/>
      <c r="J60"/>
      <c r="K60" s="279"/>
      <c r="L60" s="279"/>
      <c r="M60" s="279"/>
      <c r="N60"/>
    </row>
    <row r="61" spans="1:14" x14ac:dyDescent="0.25">
      <c r="A61" s="279">
        <v>52</v>
      </c>
      <c r="B61" s="390">
        <v>43882</v>
      </c>
      <c r="C61"/>
      <c r="D61"/>
      <c r="E61"/>
      <c r="F61"/>
      <c r="G61"/>
      <c r="H61"/>
      <c r="I61"/>
      <c r="J61"/>
      <c r="K61" s="279"/>
      <c r="L61" s="279"/>
      <c r="M61" s="279"/>
      <c r="N61"/>
    </row>
    <row r="62" spans="1:14" x14ac:dyDescent="0.25">
      <c r="A62" s="279">
        <v>53</v>
      </c>
      <c r="B62" s="391">
        <v>43883</v>
      </c>
      <c r="C62"/>
      <c r="D62"/>
      <c r="E62"/>
      <c r="F62"/>
      <c r="G62"/>
      <c r="H62"/>
      <c r="I62"/>
      <c r="J62"/>
      <c r="K62" s="279"/>
      <c r="L62" s="279"/>
      <c r="M62" s="279"/>
      <c r="N62"/>
    </row>
    <row r="63" spans="1:14" x14ac:dyDescent="0.25">
      <c r="A63" s="279">
        <v>54</v>
      </c>
      <c r="B63" s="391">
        <v>43884</v>
      </c>
      <c r="C63"/>
      <c r="D63"/>
      <c r="E63"/>
      <c r="F63"/>
      <c r="G63"/>
      <c r="H63"/>
      <c r="I63"/>
      <c r="J63"/>
      <c r="K63" s="279"/>
      <c r="L63" s="279"/>
      <c r="M63" s="279"/>
      <c r="N63"/>
    </row>
    <row r="64" spans="1:14" x14ac:dyDescent="0.25">
      <c r="A64" s="279">
        <v>55</v>
      </c>
      <c r="B64" s="390">
        <v>43885</v>
      </c>
      <c r="C64"/>
      <c r="D64"/>
      <c r="E64"/>
      <c r="F64"/>
      <c r="G64"/>
      <c r="H64"/>
      <c r="I64"/>
      <c r="J64"/>
      <c r="K64" s="279"/>
      <c r="L64" s="279"/>
      <c r="M64" s="279"/>
      <c r="N64"/>
    </row>
    <row r="65" spans="1:14" x14ac:dyDescent="0.25">
      <c r="A65" s="279">
        <v>56</v>
      </c>
      <c r="B65" s="390">
        <v>43886</v>
      </c>
      <c r="C65"/>
      <c r="D65"/>
      <c r="E65"/>
      <c r="F65"/>
      <c r="G65"/>
      <c r="H65"/>
      <c r="I65"/>
      <c r="J65"/>
      <c r="K65" s="279"/>
      <c r="L65" s="279"/>
      <c r="M65" s="279"/>
      <c r="N65"/>
    </row>
    <row r="66" spans="1:14" x14ac:dyDescent="0.25">
      <c r="A66" s="279">
        <v>57</v>
      </c>
      <c r="B66" s="390">
        <v>43887</v>
      </c>
      <c r="C66"/>
      <c r="D66"/>
      <c r="E66"/>
      <c r="F66"/>
      <c r="G66"/>
      <c r="H66"/>
      <c r="I66"/>
      <c r="J66"/>
      <c r="K66" s="279"/>
      <c r="L66" s="279"/>
      <c r="M66" s="279"/>
      <c r="N66"/>
    </row>
    <row r="67" spans="1:14" x14ac:dyDescent="0.25">
      <c r="A67" s="279">
        <v>58</v>
      </c>
      <c r="B67" s="390">
        <v>43888</v>
      </c>
      <c r="C67"/>
      <c r="D67"/>
      <c r="E67"/>
      <c r="F67"/>
      <c r="G67"/>
      <c r="H67"/>
      <c r="I67"/>
      <c r="J67"/>
      <c r="K67" s="279"/>
      <c r="L67" s="279"/>
      <c r="M67" s="279"/>
      <c r="N67"/>
    </row>
    <row r="68" spans="1:14" x14ac:dyDescent="0.25">
      <c r="A68" s="279">
        <v>59</v>
      </c>
      <c r="B68" s="390">
        <v>43889</v>
      </c>
      <c r="C68"/>
      <c r="D68"/>
      <c r="E68"/>
      <c r="F68"/>
      <c r="G68"/>
      <c r="H68"/>
      <c r="I68"/>
      <c r="J68"/>
      <c r="K68" s="279"/>
      <c r="L68" s="279"/>
      <c r="M68" s="279"/>
      <c r="N68"/>
    </row>
    <row r="69" spans="1:14" x14ac:dyDescent="0.25">
      <c r="A69" s="279">
        <v>60</v>
      </c>
      <c r="B69" s="391">
        <v>43890</v>
      </c>
      <c r="C69"/>
      <c r="D69"/>
      <c r="E69"/>
      <c r="F69"/>
      <c r="G69"/>
      <c r="H69"/>
      <c r="I69"/>
      <c r="J69"/>
      <c r="K69" s="279"/>
      <c r="L69" s="279"/>
      <c r="M69" s="279"/>
      <c r="N69"/>
    </row>
    <row r="70" spans="1:14" x14ac:dyDescent="0.25">
      <c r="A70" s="279">
        <v>61</v>
      </c>
      <c r="B70" s="391">
        <v>43891</v>
      </c>
      <c r="C70"/>
      <c r="D70"/>
      <c r="E70"/>
      <c r="F70"/>
      <c r="G70"/>
      <c r="H70"/>
      <c r="I70"/>
      <c r="J70"/>
      <c r="K70" s="279"/>
      <c r="L70" s="279"/>
      <c r="M70" s="279"/>
      <c r="N70"/>
    </row>
    <row r="71" spans="1:14" x14ac:dyDescent="0.25">
      <c r="A71" s="279">
        <v>62</v>
      </c>
      <c r="B71" s="390">
        <v>43892</v>
      </c>
      <c r="C71"/>
      <c r="D71"/>
      <c r="E71"/>
      <c r="F71"/>
      <c r="G71"/>
      <c r="H71"/>
      <c r="I71"/>
      <c r="J71"/>
      <c r="K71" s="279"/>
      <c r="L71" s="279"/>
      <c r="M71" s="279"/>
      <c r="N71"/>
    </row>
    <row r="72" spans="1:14" x14ac:dyDescent="0.25">
      <c r="A72" s="279">
        <v>63</v>
      </c>
      <c r="B72" s="390">
        <v>43893</v>
      </c>
      <c r="C72"/>
      <c r="D72"/>
      <c r="E72"/>
      <c r="F72"/>
      <c r="G72"/>
      <c r="H72"/>
      <c r="I72"/>
      <c r="J72"/>
      <c r="K72" s="279"/>
      <c r="L72" s="279"/>
      <c r="M72" s="279"/>
      <c r="N72"/>
    </row>
    <row r="73" spans="1:14" x14ac:dyDescent="0.25">
      <c r="A73" s="279">
        <v>64</v>
      </c>
      <c r="B73" s="390">
        <v>43894</v>
      </c>
      <c r="C73"/>
      <c r="D73"/>
      <c r="E73"/>
      <c r="F73"/>
      <c r="G73"/>
      <c r="H73"/>
      <c r="I73"/>
      <c r="J73"/>
      <c r="K73" s="279"/>
      <c r="L73" s="279"/>
      <c r="M73" s="279"/>
      <c r="N73"/>
    </row>
    <row r="74" spans="1:14" x14ac:dyDescent="0.25">
      <c r="A74" s="279">
        <v>65</v>
      </c>
      <c r="B74" s="390">
        <v>43895</v>
      </c>
      <c r="C74"/>
      <c r="D74"/>
      <c r="E74"/>
      <c r="F74"/>
      <c r="G74"/>
      <c r="H74"/>
      <c r="I74"/>
      <c r="J74"/>
      <c r="K74" s="279"/>
      <c r="L74" s="279"/>
      <c r="M74" s="279"/>
      <c r="N74"/>
    </row>
    <row r="75" spans="1:14" x14ac:dyDescent="0.25">
      <c r="A75" s="279">
        <v>66</v>
      </c>
      <c r="B75" s="390">
        <v>43896</v>
      </c>
      <c r="C75"/>
      <c r="D75"/>
      <c r="E75"/>
      <c r="F75"/>
      <c r="G75"/>
      <c r="H75"/>
      <c r="I75"/>
      <c r="J75"/>
      <c r="K75" s="279"/>
      <c r="L75" s="279"/>
      <c r="M75" s="279"/>
      <c r="N75"/>
    </row>
    <row r="76" spans="1:14" x14ac:dyDescent="0.25">
      <c r="A76" s="279">
        <v>67</v>
      </c>
      <c r="B76" s="391">
        <v>43897</v>
      </c>
      <c r="C76"/>
      <c r="D76"/>
      <c r="E76"/>
      <c r="F76"/>
      <c r="G76"/>
      <c r="H76"/>
      <c r="I76"/>
      <c r="J76"/>
      <c r="K76" s="279"/>
      <c r="L76" s="279"/>
      <c r="M76" s="279"/>
      <c r="N76"/>
    </row>
    <row r="77" spans="1:14" x14ac:dyDescent="0.25">
      <c r="A77" s="279">
        <v>68</v>
      </c>
      <c r="B77" s="391">
        <v>43898</v>
      </c>
      <c r="C77"/>
      <c r="D77"/>
      <c r="E77"/>
      <c r="F77"/>
      <c r="G77"/>
      <c r="H77"/>
      <c r="I77"/>
      <c r="J77"/>
      <c r="K77" s="279"/>
      <c r="L77" s="279"/>
      <c r="M77" s="279"/>
      <c r="N77"/>
    </row>
    <row r="78" spans="1:14" x14ac:dyDescent="0.25">
      <c r="A78" s="279">
        <v>69</v>
      </c>
      <c r="B78" s="390">
        <v>43899</v>
      </c>
      <c r="C78"/>
      <c r="D78"/>
      <c r="E78"/>
      <c r="F78"/>
      <c r="G78"/>
      <c r="H78"/>
      <c r="I78"/>
      <c r="J78"/>
      <c r="K78" s="279"/>
      <c r="L78" s="279"/>
      <c r="M78" s="279"/>
      <c r="N78"/>
    </row>
    <row r="79" spans="1:14" x14ac:dyDescent="0.25">
      <c r="A79" s="279">
        <v>70</v>
      </c>
      <c r="B79" s="390">
        <v>43900</v>
      </c>
      <c r="C79"/>
      <c r="D79"/>
      <c r="E79"/>
      <c r="F79"/>
      <c r="G79"/>
      <c r="H79"/>
      <c r="I79"/>
      <c r="J79"/>
      <c r="K79" s="279"/>
      <c r="L79" s="279"/>
      <c r="M79" s="279"/>
      <c r="N79"/>
    </row>
    <row r="80" spans="1:14" x14ac:dyDescent="0.25">
      <c r="A80" s="279">
        <v>71</v>
      </c>
      <c r="B80" s="390">
        <v>43901</v>
      </c>
      <c r="C80"/>
      <c r="D80"/>
      <c r="E80"/>
      <c r="F80"/>
      <c r="G80"/>
      <c r="H80"/>
      <c r="I80"/>
      <c r="J80"/>
      <c r="K80" s="279"/>
      <c r="L80" s="279"/>
      <c r="M80" s="279"/>
      <c r="N80"/>
    </row>
    <row r="81" spans="1:14" x14ac:dyDescent="0.25">
      <c r="A81" s="279">
        <v>72</v>
      </c>
      <c r="B81" s="390">
        <v>43902</v>
      </c>
      <c r="C81"/>
      <c r="D81"/>
      <c r="E81"/>
      <c r="F81"/>
      <c r="G81"/>
      <c r="H81"/>
      <c r="I81"/>
      <c r="J81"/>
      <c r="K81" s="279"/>
      <c r="L81" s="279"/>
      <c r="M81" s="279"/>
      <c r="N81"/>
    </row>
    <row r="82" spans="1:14" x14ac:dyDescent="0.25">
      <c r="A82" s="279">
        <v>73</v>
      </c>
      <c r="B82" s="390">
        <v>43903</v>
      </c>
      <c r="C82"/>
      <c r="D82"/>
      <c r="E82"/>
      <c r="F82"/>
      <c r="G82"/>
      <c r="H82"/>
      <c r="I82"/>
      <c r="J82"/>
      <c r="K82" s="279"/>
      <c r="L82" s="279"/>
      <c r="M82" s="279"/>
      <c r="N82"/>
    </row>
    <row r="83" spans="1:14" x14ac:dyDescent="0.25">
      <c r="A83" s="279">
        <v>74</v>
      </c>
      <c r="B83" s="391">
        <v>43904</v>
      </c>
      <c r="C83"/>
      <c r="D83"/>
      <c r="E83"/>
      <c r="F83"/>
      <c r="G83"/>
      <c r="H83"/>
      <c r="I83"/>
      <c r="J83"/>
      <c r="K83" s="279"/>
      <c r="L83" s="279"/>
      <c r="M83" s="279"/>
      <c r="N83"/>
    </row>
    <row r="84" spans="1:14" x14ac:dyDescent="0.25">
      <c r="A84" s="279">
        <v>75</v>
      </c>
      <c r="B84" s="391">
        <v>43905</v>
      </c>
      <c r="C84"/>
      <c r="D84"/>
      <c r="E84"/>
      <c r="F84"/>
      <c r="G84"/>
      <c r="H84"/>
      <c r="I84"/>
      <c r="J84"/>
      <c r="K84" s="279"/>
      <c r="L84" s="279"/>
      <c r="M84" s="279"/>
      <c r="N84"/>
    </row>
    <row r="85" spans="1:14" x14ac:dyDescent="0.25">
      <c r="A85" s="279">
        <v>76</v>
      </c>
      <c r="B85" s="390">
        <v>43906</v>
      </c>
      <c r="C85"/>
      <c r="D85"/>
      <c r="E85"/>
      <c r="F85"/>
      <c r="G85"/>
      <c r="H85"/>
      <c r="I85"/>
      <c r="J85"/>
      <c r="K85" s="279"/>
      <c r="L85" s="279"/>
      <c r="M85" s="279"/>
      <c r="N85"/>
    </row>
    <row r="86" spans="1:14" x14ac:dyDescent="0.25">
      <c r="A86" s="279">
        <v>77</v>
      </c>
      <c r="B86" s="390">
        <v>43907</v>
      </c>
      <c r="C86"/>
      <c r="D86"/>
      <c r="E86"/>
      <c r="F86"/>
      <c r="G86"/>
      <c r="H86"/>
      <c r="I86"/>
      <c r="J86"/>
      <c r="K86" s="279"/>
      <c r="L86" s="279"/>
      <c r="M86" s="279"/>
      <c r="N86"/>
    </row>
    <row r="87" spans="1:14" x14ac:dyDescent="0.25">
      <c r="A87" s="279">
        <v>78</v>
      </c>
      <c r="B87" s="390">
        <v>43908</v>
      </c>
      <c r="C87"/>
      <c r="D87"/>
      <c r="E87"/>
      <c r="F87"/>
      <c r="G87"/>
      <c r="H87"/>
      <c r="I87"/>
      <c r="J87"/>
      <c r="K87" s="279"/>
      <c r="L87" s="279"/>
      <c r="M87" s="279"/>
      <c r="N87"/>
    </row>
    <row r="88" spans="1:14" x14ac:dyDescent="0.25">
      <c r="A88" s="279">
        <v>79</v>
      </c>
      <c r="B88" s="390">
        <v>43909</v>
      </c>
      <c r="C88"/>
      <c r="D88"/>
      <c r="E88"/>
      <c r="F88"/>
      <c r="G88"/>
      <c r="H88"/>
      <c r="I88"/>
      <c r="J88"/>
      <c r="K88" s="279"/>
      <c r="L88" s="279"/>
      <c r="M88" s="279"/>
      <c r="N88"/>
    </row>
    <row r="89" spans="1:14" x14ac:dyDescent="0.25">
      <c r="A89" s="279">
        <v>80</v>
      </c>
      <c r="B89" s="390">
        <v>43910</v>
      </c>
      <c r="C89"/>
      <c r="D89"/>
      <c r="E89"/>
      <c r="F89"/>
      <c r="G89"/>
      <c r="H89"/>
      <c r="I89"/>
      <c r="J89"/>
      <c r="K89" s="279"/>
      <c r="L89" s="279"/>
      <c r="M89" s="279"/>
      <c r="N89"/>
    </row>
    <row r="90" spans="1:14" x14ac:dyDescent="0.25">
      <c r="A90" s="279">
        <v>81</v>
      </c>
      <c r="B90" s="391">
        <v>43911</v>
      </c>
      <c r="C90"/>
      <c r="D90"/>
      <c r="E90"/>
      <c r="F90"/>
      <c r="G90"/>
      <c r="H90"/>
      <c r="I90"/>
      <c r="J90"/>
      <c r="K90" s="279"/>
      <c r="L90" s="279"/>
      <c r="M90" s="279"/>
      <c r="N90"/>
    </row>
    <row r="91" spans="1:14" x14ac:dyDescent="0.25">
      <c r="A91" s="279">
        <v>82</v>
      </c>
      <c r="B91" s="391">
        <v>43912</v>
      </c>
      <c r="C91"/>
      <c r="D91"/>
      <c r="E91"/>
      <c r="F91"/>
      <c r="G91"/>
      <c r="H91"/>
      <c r="I91"/>
      <c r="J91"/>
      <c r="K91" s="279"/>
      <c r="L91" s="279"/>
      <c r="M91" s="279"/>
      <c r="N91"/>
    </row>
    <row r="92" spans="1:14" x14ac:dyDescent="0.25">
      <c r="A92" s="279">
        <v>83</v>
      </c>
      <c r="B92" s="390">
        <v>43913</v>
      </c>
      <c r="C92"/>
      <c r="D92"/>
      <c r="E92"/>
      <c r="F92"/>
      <c r="G92"/>
      <c r="H92"/>
      <c r="I92"/>
      <c r="J92"/>
      <c r="K92" s="279"/>
      <c r="L92" s="279"/>
      <c r="M92" s="279"/>
      <c r="N92"/>
    </row>
    <row r="93" spans="1:14" x14ac:dyDescent="0.25">
      <c r="A93" s="279">
        <v>84</v>
      </c>
      <c r="B93" s="390">
        <v>43914</v>
      </c>
      <c r="C93"/>
      <c r="D93"/>
      <c r="E93"/>
      <c r="F93"/>
      <c r="G93"/>
      <c r="H93"/>
      <c r="I93"/>
      <c r="J93"/>
      <c r="K93" s="279"/>
      <c r="L93" s="279"/>
      <c r="M93" s="279"/>
      <c r="N93"/>
    </row>
    <row r="94" spans="1:14" x14ac:dyDescent="0.25">
      <c r="A94" s="279">
        <v>85</v>
      </c>
      <c r="B94" s="390">
        <v>43915</v>
      </c>
      <c r="C94"/>
      <c r="D94"/>
      <c r="E94"/>
      <c r="F94"/>
      <c r="G94"/>
      <c r="H94"/>
      <c r="I94"/>
      <c r="J94"/>
      <c r="K94" s="279"/>
      <c r="L94" s="279"/>
      <c r="M94" s="279"/>
      <c r="N94"/>
    </row>
    <row r="95" spans="1:14" x14ac:dyDescent="0.25">
      <c r="A95" s="279">
        <v>86</v>
      </c>
      <c r="B95" s="390">
        <v>43916</v>
      </c>
      <c r="C95"/>
      <c r="D95"/>
      <c r="E95"/>
      <c r="F95"/>
      <c r="G95"/>
      <c r="H95"/>
      <c r="I95"/>
      <c r="J95"/>
      <c r="K95" s="279"/>
      <c r="L95" s="279"/>
      <c r="M95" s="279"/>
      <c r="N95"/>
    </row>
    <row r="96" spans="1:14" x14ac:dyDescent="0.25">
      <c r="A96" s="279">
        <v>87</v>
      </c>
      <c r="B96" s="390">
        <v>43917</v>
      </c>
      <c r="C96"/>
      <c r="D96"/>
      <c r="E96"/>
      <c r="F96"/>
      <c r="G96"/>
      <c r="H96"/>
      <c r="I96"/>
      <c r="J96"/>
      <c r="K96" s="279"/>
      <c r="L96" s="279"/>
      <c r="M96" s="279"/>
      <c r="N96"/>
    </row>
    <row r="97" spans="1:14" x14ac:dyDescent="0.25">
      <c r="A97" s="279">
        <v>88</v>
      </c>
      <c r="B97" s="391">
        <v>43918</v>
      </c>
      <c r="C97"/>
      <c r="D97"/>
      <c r="E97"/>
      <c r="F97"/>
      <c r="G97"/>
      <c r="H97"/>
      <c r="I97"/>
      <c r="J97"/>
      <c r="K97" s="279"/>
      <c r="L97" s="279"/>
      <c r="M97" s="279"/>
      <c r="N97"/>
    </row>
    <row r="98" spans="1:14" x14ac:dyDescent="0.25">
      <c r="A98" s="279">
        <v>89</v>
      </c>
      <c r="B98" s="391">
        <v>43919</v>
      </c>
      <c r="C98"/>
      <c r="D98"/>
      <c r="E98"/>
      <c r="F98"/>
      <c r="G98"/>
      <c r="H98"/>
      <c r="I98"/>
      <c r="J98"/>
      <c r="K98" s="279"/>
      <c r="L98" s="279"/>
      <c r="M98" s="279"/>
      <c r="N98"/>
    </row>
    <row r="99" spans="1:14" x14ac:dyDescent="0.25">
      <c r="A99" s="279">
        <v>90</v>
      </c>
      <c r="B99" s="390">
        <v>43920</v>
      </c>
      <c r="C99"/>
      <c r="D99"/>
      <c r="E99"/>
      <c r="F99"/>
      <c r="G99"/>
      <c r="H99"/>
      <c r="I99"/>
      <c r="J99"/>
      <c r="K99" s="279"/>
      <c r="L99" s="279"/>
      <c r="M99" s="279"/>
      <c r="N99"/>
    </row>
    <row r="100" spans="1:14" x14ac:dyDescent="0.25">
      <c r="A100" s="279">
        <v>91</v>
      </c>
      <c r="B100" s="390">
        <v>43921</v>
      </c>
      <c r="C100"/>
      <c r="D100"/>
      <c r="E100"/>
      <c r="F100"/>
      <c r="G100"/>
      <c r="H100"/>
      <c r="I100"/>
      <c r="J100"/>
      <c r="K100" s="279"/>
      <c r="L100" s="279"/>
      <c r="M100" s="279"/>
      <c r="N100"/>
    </row>
    <row r="101" spans="1:14" x14ac:dyDescent="0.25">
      <c r="A101" s="279">
        <v>92</v>
      </c>
      <c r="B101" s="390">
        <v>43922</v>
      </c>
      <c r="C101"/>
      <c r="D101"/>
      <c r="E101"/>
      <c r="F101"/>
      <c r="G101"/>
      <c r="H101"/>
      <c r="I101"/>
      <c r="J101"/>
      <c r="K101" s="279"/>
      <c r="L101" s="279"/>
      <c r="M101" s="279"/>
      <c r="N101"/>
    </row>
    <row r="102" spans="1:14" x14ac:dyDescent="0.25">
      <c r="A102" s="279">
        <v>93</v>
      </c>
      <c r="B102" s="390">
        <v>43923</v>
      </c>
      <c r="C102"/>
      <c r="D102"/>
      <c r="E102"/>
      <c r="F102"/>
      <c r="G102"/>
      <c r="H102"/>
      <c r="I102"/>
      <c r="J102"/>
      <c r="K102" s="279"/>
      <c r="L102" s="279"/>
      <c r="M102" s="279"/>
      <c r="N102"/>
    </row>
    <row r="103" spans="1:14" x14ac:dyDescent="0.25">
      <c r="A103" s="279">
        <v>94</v>
      </c>
      <c r="B103" s="390">
        <v>43924</v>
      </c>
      <c r="C103"/>
      <c r="D103"/>
      <c r="E103"/>
      <c r="F103"/>
      <c r="G103"/>
      <c r="H103"/>
      <c r="I103"/>
      <c r="J103"/>
      <c r="K103" s="279"/>
      <c r="L103" s="279"/>
      <c r="M103" s="279"/>
      <c r="N103"/>
    </row>
    <row r="104" spans="1:14" x14ac:dyDescent="0.25">
      <c r="A104" s="279">
        <v>95</v>
      </c>
      <c r="B104" s="391">
        <v>43925</v>
      </c>
      <c r="C104"/>
      <c r="D104"/>
      <c r="E104"/>
      <c r="F104"/>
      <c r="G104"/>
      <c r="H104"/>
      <c r="I104"/>
      <c r="J104"/>
      <c r="K104" s="279"/>
      <c r="L104" s="279"/>
      <c r="M104" s="279"/>
      <c r="N104"/>
    </row>
    <row r="105" spans="1:14" x14ac:dyDescent="0.25">
      <c r="A105" s="279">
        <v>96</v>
      </c>
      <c r="B105" s="391">
        <v>43926</v>
      </c>
      <c r="C105"/>
      <c r="D105"/>
      <c r="E105"/>
      <c r="F105"/>
      <c r="G105"/>
      <c r="H105"/>
      <c r="I105"/>
      <c r="J105"/>
      <c r="K105" s="279"/>
      <c r="L105" s="279"/>
      <c r="M105" s="279"/>
      <c r="N105"/>
    </row>
    <row r="106" spans="1:14" x14ac:dyDescent="0.25">
      <c r="A106" s="279">
        <v>97</v>
      </c>
      <c r="B106" s="390">
        <v>43927</v>
      </c>
      <c r="C106"/>
      <c r="D106"/>
      <c r="E106"/>
      <c r="F106"/>
      <c r="G106"/>
      <c r="H106"/>
      <c r="I106"/>
      <c r="J106"/>
      <c r="K106" s="279"/>
      <c r="L106" s="279"/>
      <c r="M106" s="279"/>
      <c r="N106"/>
    </row>
    <row r="107" spans="1:14" x14ac:dyDescent="0.25">
      <c r="A107" s="279">
        <v>98</v>
      </c>
      <c r="B107" s="390">
        <v>43928</v>
      </c>
      <c r="C107"/>
      <c r="D107"/>
      <c r="E107"/>
      <c r="F107"/>
      <c r="G107"/>
      <c r="H107"/>
      <c r="I107"/>
      <c r="J107"/>
      <c r="K107" s="279"/>
      <c r="L107" s="279"/>
      <c r="M107" s="279"/>
      <c r="N107"/>
    </row>
    <row r="108" spans="1:14" x14ac:dyDescent="0.25">
      <c r="A108" s="279">
        <v>99</v>
      </c>
      <c r="B108" s="390">
        <v>43929</v>
      </c>
      <c r="C108"/>
      <c r="D108"/>
      <c r="E108"/>
      <c r="F108"/>
      <c r="G108"/>
      <c r="H108"/>
      <c r="I108"/>
      <c r="J108"/>
      <c r="K108" s="279"/>
      <c r="L108" s="279"/>
      <c r="M108" s="279"/>
      <c r="N108"/>
    </row>
    <row r="109" spans="1:14" x14ac:dyDescent="0.25">
      <c r="A109" s="279">
        <v>100</v>
      </c>
      <c r="B109" s="390">
        <v>43930</v>
      </c>
      <c r="C109"/>
      <c r="D109"/>
      <c r="E109"/>
      <c r="F109"/>
      <c r="G109"/>
      <c r="H109"/>
      <c r="I109"/>
      <c r="J109"/>
      <c r="K109" s="279"/>
      <c r="L109" s="279"/>
      <c r="M109" s="279"/>
      <c r="N109"/>
    </row>
    <row r="110" spans="1:14" x14ac:dyDescent="0.25">
      <c r="A110" s="279">
        <v>101</v>
      </c>
      <c r="B110" s="392">
        <v>43931</v>
      </c>
      <c r="C110"/>
      <c r="D110"/>
      <c r="E110"/>
      <c r="F110"/>
      <c r="G110"/>
      <c r="H110"/>
      <c r="I110"/>
      <c r="J110"/>
      <c r="K110" s="279"/>
      <c r="L110" s="279"/>
      <c r="M110" s="279"/>
      <c r="N110"/>
    </row>
    <row r="111" spans="1:14" x14ac:dyDescent="0.25">
      <c r="A111" s="279">
        <v>102</v>
      </c>
      <c r="B111" s="391">
        <v>43932</v>
      </c>
      <c r="C111"/>
      <c r="D111"/>
      <c r="E111"/>
      <c r="F111"/>
      <c r="G111"/>
      <c r="H111"/>
      <c r="I111"/>
      <c r="J111"/>
      <c r="K111" s="279"/>
      <c r="L111" s="279"/>
      <c r="M111" s="279"/>
      <c r="N111"/>
    </row>
    <row r="112" spans="1:14" x14ac:dyDescent="0.25">
      <c r="A112" s="279">
        <v>103</v>
      </c>
      <c r="B112" s="391">
        <v>43933</v>
      </c>
      <c r="C112"/>
      <c r="D112"/>
      <c r="E112"/>
      <c r="F112"/>
      <c r="G112"/>
      <c r="H112"/>
      <c r="I112"/>
      <c r="J112"/>
      <c r="K112" s="279"/>
      <c r="L112" s="279"/>
      <c r="M112" s="279"/>
      <c r="N112"/>
    </row>
    <row r="113" spans="1:14" x14ac:dyDescent="0.25">
      <c r="A113" s="279">
        <v>104</v>
      </c>
      <c r="B113" s="392">
        <v>43934</v>
      </c>
      <c r="C113"/>
      <c r="D113"/>
      <c r="E113"/>
      <c r="F113"/>
      <c r="G113"/>
      <c r="H113"/>
      <c r="I113"/>
      <c r="J113"/>
      <c r="K113" s="279"/>
      <c r="L113" s="279"/>
      <c r="M113" s="279"/>
      <c r="N113"/>
    </row>
    <row r="114" spans="1:14" x14ac:dyDescent="0.25">
      <c r="A114" s="279">
        <v>105</v>
      </c>
      <c r="B114" s="390">
        <v>43935</v>
      </c>
      <c r="C114"/>
      <c r="D114"/>
      <c r="E114"/>
      <c r="F114"/>
      <c r="G114"/>
      <c r="H114"/>
      <c r="I114"/>
      <c r="J114"/>
      <c r="K114" s="279"/>
      <c r="L114" s="279"/>
      <c r="M114" s="279"/>
      <c r="N114"/>
    </row>
    <row r="115" spans="1:14" x14ac:dyDescent="0.25">
      <c r="A115" s="279">
        <v>106</v>
      </c>
      <c r="B115" s="390">
        <v>43936</v>
      </c>
      <c r="C115"/>
      <c r="D115"/>
      <c r="E115"/>
      <c r="F115"/>
      <c r="G115"/>
      <c r="H115"/>
      <c r="I115"/>
      <c r="J115"/>
      <c r="K115" s="279"/>
      <c r="L115" s="279"/>
      <c r="M115" s="279"/>
      <c r="N115"/>
    </row>
    <row r="116" spans="1:14" x14ac:dyDescent="0.25">
      <c r="A116" s="279">
        <v>107</v>
      </c>
      <c r="B116" s="390">
        <v>43937</v>
      </c>
      <c r="C116"/>
      <c r="D116"/>
      <c r="E116"/>
      <c r="F116"/>
      <c r="G116"/>
      <c r="H116"/>
      <c r="I116"/>
      <c r="J116"/>
      <c r="K116" s="279"/>
      <c r="L116" s="279"/>
      <c r="M116" s="279"/>
      <c r="N116"/>
    </row>
    <row r="117" spans="1:14" x14ac:dyDescent="0.25">
      <c r="A117" s="279">
        <v>108</v>
      </c>
      <c r="B117" s="390">
        <v>43938</v>
      </c>
      <c r="C117"/>
      <c r="D117"/>
      <c r="E117"/>
      <c r="F117"/>
      <c r="G117"/>
      <c r="H117"/>
      <c r="I117"/>
      <c r="J117"/>
      <c r="K117" s="279"/>
      <c r="L117" s="279"/>
      <c r="M117" s="279"/>
      <c r="N117"/>
    </row>
    <row r="118" spans="1:14" x14ac:dyDescent="0.25">
      <c r="A118" s="279">
        <v>109</v>
      </c>
      <c r="B118" s="391">
        <v>43939</v>
      </c>
      <c r="C118"/>
      <c r="D118"/>
      <c r="E118"/>
      <c r="F118"/>
      <c r="G118"/>
      <c r="H118"/>
      <c r="I118"/>
      <c r="J118"/>
      <c r="K118" s="279"/>
      <c r="L118" s="279"/>
      <c r="M118" s="279"/>
      <c r="N118"/>
    </row>
    <row r="119" spans="1:14" x14ac:dyDescent="0.25">
      <c r="A119" s="279">
        <v>110</v>
      </c>
      <c r="B119" s="391">
        <v>43940</v>
      </c>
      <c r="C119"/>
      <c r="D119"/>
      <c r="E119"/>
      <c r="F119"/>
      <c r="G119"/>
      <c r="H119"/>
      <c r="I119"/>
      <c r="J119"/>
      <c r="K119" s="279"/>
      <c r="L119" s="279"/>
      <c r="M119" s="279"/>
      <c r="N119"/>
    </row>
    <row r="120" spans="1:14" x14ac:dyDescent="0.25">
      <c r="A120" s="279">
        <v>111</v>
      </c>
      <c r="B120" s="390">
        <v>43941</v>
      </c>
      <c r="C120"/>
      <c r="D120"/>
      <c r="E120"/>
      <c r="F120"/>
      <c r="G120"/>
      <c r="H120"/>
      <c r="I120"/>
      <c r="J120"/>
      <c r="K120" s="279"/>
      <c r="L120" s="279"/>
      <c r="M120" s="279"/>
      <c r="N120"/>
    </row>
    <row r="121" spans="1:14" x14ac:dyDescent="0.25">
      <c r="A121" s="279">
        <v>112</v>
      </c>
      <c r="B121" s="390">
        <v>43942</v>
      </c>
      <c r="C121"/>
      <c r="D121"/>
      <c r="E121"/>
      <c r="F121"/>
      <c r="G121"/>
      <c r="H121"/>
      <c r="I121"/>
      <c r="J121"/>
      <c r="K121" s="279"/>
      <c r="L121" s="279"/>
      <c r="M121" s="279"/>
      <c r="N121"/>
    </row>
    <row r="122" spans="1:14" x14ac:dyDescent="0.25">
      <c r="A122" s="279">
        <v>113</v>
      </c>
      <c r="B122" s="390">
        <v>43943</v>
      </c>
      <c r="C122"/>
      <c r="D122"/>
      <c r="E122"/>
      <c r="F122"/>
      <c r="G122"/>
      <c r="H122"/>
      <c r="I122"/>
      <c r="J122"/>
      <c r="K122" s="279"/>
      <c r="L122" s="279"/>
      <c r="M122" s="279"/>
      <c r="N122"/>
    </row>
    <row r="123" spans="1:14" x14ac:dyDescent="0.25">
      <c r="A123" s="279">
        <v>114</v>
      </c>
      <c r="B123" s="390">
        <v>43944</v>
      </c>
      <c r="C123"/>
      <c r="D123"/>
      <c r="E123"/>
      <c r="F123"/>
      <c r="G123"/>
      <c r="H123"/>
      <c r="I123"/>
      <c r="J123"/>
      <c r="K123" s="279"/>
      <c r="L123" s="279"/>
      <c r="M123" s="279"/>
      <c r="N123"/>
    </row>
    <row r="124" spans="1:14" x14ac:dyDescent="0.25">
      <c r="A124" s="279">
        <v>115</v>
      </c>
      <c r="B124" s="390">
        <v>43945</v>
      </c>
      <c r="C124"/>
      <c r="D124"/>
      <c r="E124"/>
      <c r="F124"/>
      <c r="G124"/>
      <c r="H124"/>
      <c r="I124"/>
      <c r="J124"/>
      <c r="K124" s="279"/>
      <c r="L124" s="279"/>
      <c r="M124" s="279"/>
      <c r="N124"/>
    </row>
    <row r="125" spans="1:14" x14ac:dyDescent="0.25">
      <c r="A125" s="279">
        <v>116</v>
      </c>
      <c r="B125" s="391">
        <v>43946</v>
      </c>
      <c r="C125"/>
      <c r="D125"/>
      <c r="E125"/>
      <c r="F125"/>
      <c r="G125"/>
      <c r="H125"/>
      <c r="I125"/>
      <c r="J125"/>
      <c r="K125" s="279"/>
      <c r="L125" s="279"/>
      <c r="M125" s="279"/>
      <c r="N125"/>
    </row>
    <row r="126" spans="1:14" x14ac:dyDescent="0.25">
      <c r="A126" s="279">
        <v>117</v>
      </c>
      <c r="B126" s="391">
        <v>43947</v>
      </c>
      <c r="C126"/>
      <c r="D126"/>
      <c r="E126"/>
      <c r="F126"/>
      <c r="G126"/>
      <c r="H126"/>
      <c r="I126"/>
      <c r="J126"/>
      <c r="K126" s="279"/>
      <c r="L126" s="279"/>
      <c r="M126" s="279"/>
      <c r="N126"/>
    </row>
    <row r="127" spans="1:14" x14ac:dyDescent="0.25">
      <c r="A127" s="279">
        <v>118</v>
      </c>
      <c r="B127" s="390">
        <v>43948</v>
      </c>
      <c r="C127"/>
      <c r="D127"/>
      <c r="E127"/>
      <c r="F127"/>
      <c r="G127"/>
      <c r="H127"/>
      <c r="I127"/>
      <c r="J127"/>
      <c r="K127" s="279"/>
      <c r="L127" s="279"/>
      <c r="M127" s="279"/>
      <c r="N127"/>
    </row>
    <row r="128" spans="1:14" x14ac:dyDescent="0.25">
      <c r="A128" s="279">
        <v>119</v>
      </c>
      <c r="B128" s="390">
        <v>43949</v>
      </c>
      <c r="C128"/>
      <c r="D128"/>
      <c r="E128"/>
      <c r="F128"/>
      <c r="G128"/>
      <c r="H128"/>
      <c r="I128"/>
      <c r="J128"/>
      <c r="K128" s="279"/>
      <c r="L128" s="279"/>
      <c r="M128" s="279"/>
      <c r="N128"/>
    </row>
    <row r="129" spans="1:14" x14ac:dyDescent="0.25">
      <c r="A129" s="279">
        <v>120</v>
      </c>
      <c r="B129" s="390">
        <v>43950</v>
      </c>
      <c r="C129"/>
      <c r="D129"/>
      <c r="E129"/>
      <c r="F129"/>
      <c r="G129"/>
      <c r="H129"/>
      <c r="I129"/>
      <c r="J129"/>
      <c r="K129" s="279"/>
      <c r="L129" s="279"/>
      <c r="M129" s="279"/>
      <c r="N129"/>
    </row>
    <row r="130" spans="1:14" x14ac:dyDescent="0.25">
      <c r="A130" s="279">
        <v>121</v>
      </c>
      <c r="B130" s="390">
        <v>43951</v>
      </c>
      <c r="C130"/>
      <c r="D130"/>
      <c r="E130"/>
      <c r="F130"/>
      <c r="G130"/>
      <c r="H130"/>
      <c r="I130"/>
      <c r="J130"/>
      <c r="K130" s="279"/>
      <c r="L130" s="279"/>
      <c r="M130" s="279"/>
      <c r="N130"/>
    </row>
    <row r="131" spans="1:14" x14ac:dyDescent="0.25">
      <c r="A131" s="279">
        <v>122</v>
      </c>
      <c r="B131" s="392">
        <v>43952</v>
      </c>
      <c r="C131"/>
      <c r="D131"/>
      <c r="E131"/>
      <c r="F131"/>
      <c r="G131"/>
      <c r="H131"/>
      <c r="I131"/>
      <c r="J131"/>
      <c r="K131" s="279"/>
      <c r="L131" s="279"/>
      <c r="M131" s="279"/>
      <c r="N131"/>
    </row>
    <row r="132" spans="1:14" x14ac:dyDescent="0.25">
      <c r="A132" s="279">
        <v>123</v>
      </c>
      <c r="B132" s="391">
        <v>43953</v>
      </c>
      <c r="C132"/>
      <c r="D132"/>
      <c r="E132"/>
      <c r="F132"/>
      <c r="G132"/>
      <c r="H132"/>
      <c r="I132"/>
      <c r="J132"/>
      <c r="K132" s="279"/>
      <c r="L132" s="279"/>
      <c r="M132" s="279"/>
      <c r="N132"/>
    </row>
    <row r="133" spans="1:14" x14ac:dyDescent="0.25">
      <c r="A133" s="279">
        <v>124</v>
      </c>
      <c r="B133" s="391">
        <v>43954</v>
      </c>
      <c r="C133"/>
      <c r="D133"/>
      <c r="E133"/>
      <c r="F133"/>
      <c r="G133"/>
      <c r="H133"/>
      <c r="I133"/>
      <c r="J133"/>
      <c r="K133" s="279"/>
      <c r="L133" s="279"/>
      <c r="M133" s="279"/>
      <c r="N133"/>
    </row>
    <row r="134" spans="1:14" x14ac:dyDescent="0.25">
      <c r="A134" s="279">
        <v>125</v>
      </c>
      <c r="B134" s="390">
        <v>43955</v>
      </c>
      <c r="C134"/>
      <c r="D134"/>
      <c r="E134"/>
      <c r="F134"/>
      <c r="G134"/>
      <c r="H134"/>
      <c r="I134"/>
      <c r="J134"/>
      <c r="K134" s="279"/>
      <c r="L134" s="279"/>
      <c r="M134" s="279"/>
      <c r="N134"/>
    </row>
    <row r="135" spans="1:14" x14ac:dyDescent="0.25">
      <c r="A135" s="279">
        <v>126</v>
      </c>
      <c r="B135" s="390">
        <v>43956</v>
      </c>
      <c r="C135"/>
      <c r="D135"/>
      <c r="E135"/>
      <c r="F135"/>
      <c r="G135"/>
      <c r="H135"/>
      <c r="I135"/>
      <c r="J135"/>
      <c r="K135" s="279"/>
      <c r="L135" s="279"/>
      <c r="M135" s="279"/>
      <c r="N135"/>
    </row>
    <row r="136" spans="1:14" x14ac:dyDescent="0.25">
      <c r="A136" s="279">
        <v>127</v>
      </c>
      <c r="B136" s="390">
        <v>43957</v>
      </c>
      <c r="C136"/>
      <c r="D136"/>
      <c r="E136"/>
      <c r="F136"/>
      <c r="G136"/>
      <c r="H136"/>
      <c r="I136"/>
      <c r="J136"/>
      <c r="K136" s="279"/>
      <c r="L136" s="279"/>
      <c r="M136" s="279"/>
      <c r="N136"/>
    </row>
    <row r="137" spans="1:14" x14ac:dyDescent="0.25">
      <c r="A137" s="279">
        <v>128</v>
      </c>
      <c r="B137" s="390">
        <v>43958</v>
      </c>
      <c r="C137"/>
      <c r="D137"/>
      <c r="E137"/>
      <c r="F137"/>
      <c r="G137"/>
      <c r="H137"/>
      <c r="I137"/>
      <c r="J137"/>
      <c r="K137" s="279"/>
      <c r="L137" s="279"/>
      <c r="M137" s="279"/>
      <c r="N137"/>
    </row>
    <row r="138" spans="1:14" x14ac:dyDescent="0.25">
      <c r="A138" s="279">
        <v>129</v>
      </c>
      <c r="B138" s="392">
        <v>43959</v>
      </c>
      <c r="C138"/>
      <c r="D138"/>
      <c r="E138"/>
      <c r="F138"/>
      <c r="G138"/>
      <c r="H138"/>
      <c r="I138"/>
      <c r="J138"/>
      <c r="K138" s="279"/>
      <c r="L138" s="279"/>
      <c r="M138" s="279"/>
      <c r="N138"/>
    </row>
    <row r="139" spans="1:14" x14ac:dyDescent="0.25">
      <c r="A139" s="279">
        <v>130</v>
      </c>
      <c r="B139" s="391">
        <v>43960</v>
      </c>
      <c r="C139"/>
      <c r="D139"/>
      <c r="E139"/>
      <c r="F139"/>
      <c r="G139"/>
      <c r="H139"/>
      <c r="I139"/>
      <c r="J139"/>
      <c r="K139" s="279"/>
      <c r="L139" s="279"/>
      <c r="M139" s="279"/>
      <c r="N139"/>
    </row>
    <row r="140" spans="1:14" x14ac:dyDescent="0.25">
      <c r="A140" s="279">
        <v>131</v>
      </c>
      <c r="B140" s="391">
        <v>43961</v>
      </c>
      <c r="C140"/>
      <c r="D140"/>
      <c r="E140"/>
      <c r="F140"/>
      <c r="G140"/>
      <c r="H140"/>
      <c r="I140"/>
      <c r="J140"/>
      <c r="K140" s="279"/>
      <c r="L140" s="279"/>
      <c r="M140" s="279"/>
      <c r="N140"/>
    </row>
    <row r="141" spans="1:14" x14ac:dyDescent="0.25">
      <c r="A141" s="279">
        <v>132</v>
      </c>
      <c r="B141" s="390">
        <v>43962</v>
      </c>
      <c r="C141"/>
      <c r="D141"/>
      <c r="E141"/>
      <c r="F141"/>
      <c r="G141"/>
      <c r="H141"/>
      <c r="I141"/>
      <c r="J141"/>
      <c r="K141" s="279"/>
      <c r="L141" s="279"/>
      <c r="M141" s="279"/>
      <c r="N141"/>
    </row>
    <row r="142" spans="1:14" x14ac:dyDescent="0.25">
      <c r="A142" s="279">
        <v>133</v>
      </c>
      <c r="B142" s="390">
        <v>43963</v>
      </c>
      <c r="C142"/>
      <c r="D142"/>
      <c r="E142"/>
      <c r="F142"/>
      <c r="G142"/>
      <c r="H142"/>
      <c r="I142"/>
      <c r="J142"/>
      <c r="K142" s="279"/>
      <c r="L142" s="279"/>
      <c r="M142" s="279"/>
      <c r="N142"/>
    </row>
    <row r="143" spans="1:14" x14ac:dyDescent="0.25">
      <c r="A143" s="279">
        <v>134</v>
      </c>
      <c r="B143" s="390">
        <v>43964</v>
      </c>
      <c r="C143"/>
      <c r="D143"/>
      <c r="E143"/>
      <c r="F143"/>
      <c r="G143"/>
      <c r="H143"/>
      <c r="I143"/>
      <c r="J143"/>
      <c r="K143" s="279"/>
      <c r="L143" s="279"/>
      <c r="M143" s="279"/>
      <c r="N143"/>
    </row>
    <row r="144" spans="1:14" x14ac:dyDescent="0.25">
      <c r="A144" s="279">
        <v>135</v>
      </c>
      <c r="B144" s="390">
        <v>43965</v>
      </c>
      <c r="C144"/>
      <c r="D144"/>
      <c r="E144"/>
      <c r="F144"/>
      <c r="G144"/>
      <c r="H144"/>
      <c r="I144"/>
      <c r="J144"/>
      <c r="K144" s="279"/>
      <c r="L144" s="279"/>
      <c r="M144" s="279"/>
      <c r="N144"/>
    </row>
    <row r="145" spans="1:14" x14ac:dyDescent="0.25">
      <c r="A145" s="279">
        <v>136</v>
      </c>
      <c r="B145" s="390">
        <v>43966</v>
      </c>
      <c r="C145"/>
      <c r="D145"/>
      <c r="E145"/>
      <c r="F145"/>
      <c r="G145"/>
      <c r="H145"/>
      <c r="I145"/>
      <c r="J145"/>
      <c r="K145" s="279"/>
      <c r="L145" s="279"/>
      <c r="M145" s="279"/>
      <c r="N145"/>
    </row>
    <row r="146" spans="1:14" x14ac:dyDescent="0.25">
      <c r="A146" s="279">
        <v>137</v>
      </c>
      <c r="B146" s="391">
        <v>43967</v>
      </c>
      <c r="C146"/>
      <c r="D146"/>
      <c r="E146"/>
      <c r="F146"/>
      <c r="G146"/>
      <c r="H146"/>
      <c r="I146"/>
      <c r="J146"/>
      <c r="K146" s="279"/>
      <c r="L146" s="279"/>
      <c r="M146" s="279"/>
      <c r="N146"/>
    </row>
    <row r="147" spans="1:14" x14ac:dyDescent="0.25">
      <c r="A147" s="279">
        <v>138</v>
      </c>
      <c r="B147" s="391">
        <v>43968</v>
      </c>
      <c r="C147"/>
      <c r="D147"/>
      <c r="E147"/>
      <c r="F147"/>
      <c r="G147"/>
      <c r="H147"/>
      <c r="I147"/>
      <c r="J147"/>
      <c r="K147" s="279"/>
      <c r="L147" s="279"/>
      <c r="M147" s="279"/>
      <c r="N147"/>
    </row>
    <row r="148" spans="1:14" x14ac:dyDescent="0.25">
      <c r="A148" s="279">
        <v>139</v>
      </c>
      <c r="B148" s="390">
        <v>43969</v>
      </c>
      <c r="C148"/>
      <c r="D148"/>
      <c r="E148"/>
      <c r="F148"/>
      <c r="G148"/>
      <c r="H148"/>
      <c r="I148"/>
      <c r="J148"/>
      <c r="K148" s="279"/>
      <c r="L148" s="279"/>
      <c r="M148" s="279"/>
      <c r="N148"/>
    </row>
    <row r="149" spans="1:14" x14ac:dyDescent="0.25">
      <c r="A149" s="279">
        <v>140</v>
      </c>
      <c r="B149" s="390">
        <v>43970</v>
      </c>
      <c r="C149"/>
      <c r="D149"/>
      <c r="E149"/>
      <c r="F149"/>
      <c r="G149"/>
      <c r="H149"/>
      <c r="I149"/>
      <c r="J149"/>
      <c r="K149" s="279"/>
      <c r="L149" s="279"/>
      <c r="M149" s="279"/>
      <c r="N149"/>
    </row>
    <row r="150" spans="1:14" x14ac:dyDescent="0.25">
      <c r="A150" s="279">
        <v>141</v>
      </c>
      <c r="B150" s="390">
        <v>43971</v>
      </c>
      <c r="C150"/>
      <c r="D150"/>
      <c r="E150"/>
      <c r="F150"/>
      <c r="G150"/>
      <c r="H150"/>
      <c r="I150"/>
      <c r="J150"/>
      <c r="K150" s="279"/>
      <c r="L150" s="279"/>
      <c r="M150" s="279"/>
      <c r="N150"/>
    </row>
    <row r="151" spans="1:14" x14ac:dyDescent="0.25">
      <c r="A151" s="279">
        <v>142</v>
      </c>
      <c r="B151" s="390">
        <v>43972</v>
      </c>
      <c r="C151"/>
      <c r="D151"/>
      <c r="E151"/>
      <c r="F151"/>
      <c r="G151"/>
      <c r="H151"/>
      <c r="I151"/>
      <c r="J151"/>
      <c r="K151" s="279"/>
      <c r="L151" s="279"/>
      <c r="M151" s="279"/>
      <c r="N151"/>
    </row>
    <row r="152" spans="1:14" x14ac:dyDescent="0.25">
      <c r="A152" s="279">
        <v>143</v>
      </c>
      <c r="B152" s="390">
        <v>43973</v>
      </c>
      <c r="C152"/>
      <c r="D152"/>
      <c r="E152"/>
      <c r="F152"/>
      <c r="G152"/>
      <c r="H152"/>
      <c r="I152"/>
      <c r="J152"/>
      <c r="K152" s="279"/>
      <c r="L152" s="279"/>
      <c r="M152" s="279"/>
      <c r="N152"/>
    </row>
    <row r="153" spans="1:14" x14ac:dyDescent="0.25">
      <c r="A153" s="279">
        <v>144</v>
      </c>
      <c r="B153" s="391">
        <v>43974</v>
      </c>
      <c r="C153"/>
      <c r="D153"/>
      <c r="E153"/>
      <c r="F153"/>
      <c r="G153"/>
      <c r="H153"/>
      <c r="I153"/>
      <c r="J153"/>
      <c r="K153" s="279"/>
      <c r="L153" s="279"/>
      <c r="M153" s="279"/>
      <c r="N153"/>
    </row>
    <row r="154" spans="1:14" x14ac:dyDescent="0.25">
      <c r="A154" s="279">
        <v>145</v>
      </c>
      <c r="B154" s="391">
        <v>43975</v>
      </c>
      <c r="C154"/>
      <c r="D154"/>
      <c r="E154"/>
      <c r="F154"/>
      <c r="G154"/>
      <c r="H154"/>
      <c r="I154"/>
      <c r="J154"/>
      <c r="K154" s="279"/>
      <c r="L154" s="279"/>
      <c r="M154" s="279"/>
      <c r="N154"/>
    </row>
    <row r="155" spans="1:14" x14ac:dyDescent="0.25">
      <c r="A155" s="279">
        <v>146</v>
      </c>
      <c r="B155" s="390">
        <v>43976</v>
      </c>
      <c r="C155"/>
      <c r="D155"/>
      <c r="E155"/>
      <c r="F155"/>
      <c r="G155"/>
      <c r="H155"/>
      <c r="I155"/>
      <c r="J155"/>
      <c r="K155" s="279"/>
      <c r="L155" s="279"/>
      <c r="M155" s="279"/>
      <c r="N155"/>
    </row>
    <row r="156" spans="1:14" x14ac:dyDescent="0.25">
      <c r="A156" s="279">
        <v>147</v>
      </c>
      <c r="B156" s="390">
        <v>43977</v>
      </c>
      <c r="C156"/>
      <c r="D156"/>
      <c r="E156"/>
      <c r="F156"/>
      <c r="G156"/>
      <c r="H156"/>
      <c r="I156"/>
      <c r="J156"/>
      <c r="K156" s="279"/>
      <c r="L156" s="279"/>
      <c r="M156" s="279"/>
      <c r="N156"/>
    </row>
    <row r="157" spans="1:14" x14ac:dyDescent="0.25">
      <c r="A157" s="279">
        <v>148</v>
      </c>
      <c r="B157" s="390">
        <v>43978</v>
      </c>
      <c r="C157"/>
      <c r="D157"/>
      <c r="E157"/>
      <c r="F157"/>
      <c r="G157"/>
      <c r="H157"/>
      <c r="I157"/>
      <c r="J157"/>
      <c r="K157" s="279"/>
      <c r="L157" s="279"/>
      <c r="M157" s="279"/>
      <c r="N157"/>
    </row>
    <row r="158" spans="1:14" x14ac:dyDescent="0.25">
      <c r="A158" s="279">
        <v>149</v>
      </c>
      <c r="B158" s="390">
        <v>43979</v>
      </c>
      <c r="C158"/>
      <c r="D158"/>
      <c r="E158"/>
      <c r="F158"/>
      <c r="G158"/>
      <c r="H158"/>
      <c r="I158"/>
      <c r="J158"/>
      <c r="K158" s="279"/>
      <c r="L158" s="279"/>
      <c r="M158" s="279"/>
      <c r="N158"/>
    </row>
    <row r="159" spans="1:14" x14ac:dyDescent="0.25">
      <c r="A159" s="279">
        <v>150</v>
      </c>
      <c r="B159" s="390">
        <v>43980</v>
      </c>
      <c r="C159"/>
      <c r="D159"/>
      <c r="E159"/>
      <c r="F159"/>
      <c r="G159"/>
      <c r="H159"/>
      <c r="I159"/>
      <c r="J159"/>
      <c r="K159" s="279"/>
      <c r="L159" s="279"/>
      <c r="M159" s="279"/>
      <c r="N159"/>
    </row>
    <row r="160" spans="1:14" x14ac:dyDescent="0.25">
      <c r="A160" s="279">
        <v>151</v>
      </c>
      <c r="B160" s="391">
        <v>43981</v>
      </c>
      <c r="C160"/>
      <c r="D160"/>
      <c r="E160"/>
      <c r="F160"/>
      <c r="G160"/>
      <c r="H160"/>
      <c r="I160"/>
      <c r="J160"/>
      <c r="K160" s="279"/>
      <c r="L160" s="279"/>
      <c r="M160" s="279"/>
      <c r="N160"/>
    </row>
    <row r="161" spans="1:14" x14ac:dyDescent="0.25">
      <c r="A161" s="279">
        <v>152</v>
      </c>
      <c r="B161" s="391">
        <v>43982</v>
      </c>
      <c r="C161"/>
      <c r="D161"/>
      <c r="E161"/>
      <c r="F161"/>
      <c r="G161"/>
      <c r="H161"/>
      <c r="I161"/>
      <c r="J161"/>
      <c r="K161" s="279"/>
      <c r="L161" s="279"/>
      <c r="M161" s="279"/>
      <c r="N161"/>
    </row>
    <row r="162" spans="1:14" x14ac:dyDescent="0.25">
      <c r="A162" s="279">
        <v>153</v>
      </c>
      <c r="B162" s="390">
        <v>43983</v>
      </c>
      <c r="C162"/>
      <c r="D162"/>
      <c r="E162"/>
      <c r="F162"/>
      <c r="G162"/>
      <c r="H162"/>
      <c r="I162"/>
      <c r="J162"/>
      <c r="K162" s="279"/>
      <c r="L162" s="279"/>
      <c r="M162" s="279"/>
      <c r="N162"/>
    </row>
    <row r="163" spans="1:14" x14ac:dyDescent="0.25">
      <c r="A163" s="279">
        <v>154</v>
      </c>
      <c r="B163" s="390">
        <v>43984</v>
      </c>
      <c r="C163"/>
      <c r="D163"/>
      <c r="E163"/>
      <c r="F163"/>
      <c r="G163"/>
      <c r="H163"/>
      <c r="I163"/>
      <c r="J163"/>
      <c r="K163" s="279"/>
      <c r="L163" s="279"/>
      <c r="M163" s="279"/>
      <c r="N163"/>
    </row>
    <row r="164" spans="1:14" x14ac:dyDescent="0.25">
      <c r="A164" s="279">
        <v>155</v>
      </c>
      <c r="B164" s="390">
        <v>43985</v>
      </c>
      <c r="C164"/>
      <c r="D164"/>
      <c r="E164"/>
      <c r="F164"/>
      <c r="G164"/>
      <c r="H164"/>
      <c r="I164"/>
      <c r="J164"/>
      <c r="K164" s="279"/>
      <c r="L164" s="279"/>
      <c r="M164" s="279"/>
      <c r="N164"/>
    </row>
    <row r="165" spans="1:14" x14ac:dyDescent="0.25">
      <c r="A165" s="279">
        <v>156</v>
      </c>
      <c r="B165" s="390">
        <v>43986</v>
      </c>
      <c r="C165"/>
      <c r="D165"/>
      <c r="E165"/>
      <c r="F165"/>
      <c r="G165"/>
      <c r="H165"/>
      <c r="I165"/>
      <c r="J165"/>
      <c r="K165" s="279"/>
      <c r="L165" s="279"/>
      <c r="M165" s="279"/>
      <c r="N165"/>
    </row>
    <row r="166" spans="1:14" x14ac:dyDescent="0.25">
      <c r="A166" s="279">
        <v>157</v>
      </c>
      <c r="B166" s="390">
        <v>43987</v>
      </c>
      <c r="C166"/>
      <c r="D166"/>
      <c r="E166"/>
      <c r="F166"/>
      <c r="G166"/>
      <c r="H166"/>
      <c r="I166"/>
      <c r="J166"/>
      <c r="K166" s="279"/>
      <c r="L166" s="279"/>
      <c r="M166" s="279"/>
      <c r="N166"/>
    </row>
    <row r="167" spans="1:14" x14ac:dyDescent="0.25">
      <c r="A167" s="279">
        <v>158</v>
      </c>
      <c r="B167" s="391">
        <v>43988</v>
      </c>
      <c r="C167"/>
      <c r="D167"/>
      <c r="E167"/>
      <c r="F167"/>
      <c r="G167"/>
      <c r="H167"/>
      <c r="I167"/>
      <c r="J167"/>
      <c r="K167" s="279"/>
      <c r="L167" s="279"/>
      <c r="M167" s="279"/>
      <c r="N167"/>
    </row>
    <row r="168" spans="1:14" x14ac:dyDescent="0.25">
      <c r="A168" s="279">
        <v>159</v>
      </c>
      <c r="B168" s="391">
        <v>43989</v>
      </c>
      <c r="C168"/>
      <c r="D168"/>
      <c r="E168"/>
      <c r="F168"/>
      <c r="G168"/>
      <c r="H168"/>
      <c r="I168"/>
      <c r="J168"/>
      <c r="K168" s="279"/>
      <c r="L168" s="279"/>
      <c r="M168" s="279"/>
      <c r="N168"/>
    </row>
    <row r="169" spans="1:14" x14ac:dyDescent="0.25">
      <c r="A169" s="279">
        <v>160</v>
      </c>
      <c r="B169" s="390">
        <v>43990</v>
      </c>
      <c r="C169"/>
      <c r="D169"/>
      <c r="E169"/>
      <c r="F169"/>
      <c r="G169"/>
      <c r="H169"/>
      <c r="I169"/>
      <c r="J169"/>
      <c r="K169" s="279"/>
      <c r="L169" s="279"/>
      <c r="M169" s="279"/>
      <c r="N169"/>
    </row>
    <row r="170" spans="1:14" x14ac:dyDescent="0.25">
      <c r="A170" s="279">
        <v>161</v>
      </c>
      <c r="B170" s="390">
        <v>43991</v>
      </c>
      <c r="C170"/>
      <c r="D170"/>
      <c r="E170"/>
      <c r="F170"/>
      <c r="G170"/>
      <c r="H170"/>
      <c r="I170"/>
      <c r="J170"/>
      <c r="K170" s="279"/>
      <c r="L170" s="279"/>
      <c r="M170" s="279"/>
      <c r="N170"/>
    </row>
    <row r="171" spans="1:14" x14ac:dyDescent="0.25">
      <c r="A171" s="279">
        <v>162</v>
      </c>
      <c r="B171" s="390">
        <v>43992</v>
      </c>
      <c r="C171"/>
      <c r="D171"/>
      <c r="E171"/>
      <c r="F171"/>
      <c r="G171"/>
      <c r="H171"/>
      <c r="I171"/>
      <c r="J171"/>
      <c r="K171" s="279"/>
      <c r="L171" s="279"/>
      <c r="M171" s="279"/>
      <c r="N171"/>
    </row>
    <row r="172" spans="1:14" x14ac:dyDescent="0.25">
      <c r="A172" s="279">
        <v>163</v>
      </c>
      <c r="B172" s="390">
        <v>43993</v>
      </c>
      <c r="C172"/>
      <c r="D172"/>
      <c r="E172"/>
      <c r="F172"/>
      <c r="G172"/>
      <c r="H172"/>
      <c r="I172"/>
      <c r="J172"/>
      <c r="K172" s="279"/>
      <c r="L172" s="279"/>
      <c r="M172" s="279"/>
      <c r="N172"/>
    </row>
    <row r="173" spans="1:14" x14ac:dyDescent="0.25">
      <c r="A173" s="279">
        <v>164</v>
      </c>
      <c r="B173" s="390">
        <v>43994</v>
      </c>
      <c r="C173"/>
      <c r="D173"/>
      <c r="E173"/>
      <c r="F173"/>
      <c r="G173"/>
      <c r="H173"/>
      <c r="I173"/>
      <c r="J173"/>
      <c r="K173" s="279"/>
      <c r="L173" s="279"/>
      <c r="M173" s="279"/>
      <c r="N173"/>
    </row>
    <row r="174" spans="1:14" x14ac:dyDescent="0.25">
      <c r="A174" s="279">
        <v>165</v>
      </c>
      <c r="B174" s="391">
        <v>43995</v>
      </c>
      <c r="C174"/>
      <c r="D174"/>
      <c r="E174"/>
      <c r="F174"/>
      <c r="G174"/>
      <c r="H174"/>
      <c r="I174"/>
      <c r="J174"/>
      <c r="K174" s="279"/>
      <c r="L174" s="279"/>
      <c r="M174" s="279"/>
      <c r="N174"/>
    </row>
    <row r="175" spans="1:14" x14ac:dyDescent="0.25">
      <c r="A175" s="279">
        <v>166</v>
      </c>
      <c r="B175" s="391">
        <v>43996</v>
      </c>
      <c r="C175"/>
      <c r="D175"/>
      <c r="E175"/>
      <c r="F175"/>
      <c r="G175"/>
      <c r="H175"/>
      <c r="I175"/>
      <c r="J175"/>
      <c r="K175" s="279"/>
      <c r="L175" s="279"/>
      <c r="M175" s="279"/>
      <c r="N175"/>
    </row>
    <row r="176" spans="1:14" x14ac:dyDescent="0.25">
      <c r="A176" s="279">
        <v>167</v>
      </c>
      <c r="B176" s="390">
        <v>43997</v>
      </c>
      <c r="C176"/>
      <c r="D176"/>
      <c r="E176"/>
      <c r="F176"/>
      <c r="G176"/>
      <c r="H176"/>
      <c r="I176"/>
      <c r="J176"/>
      <c r="K176" s="279"/>
      <c r="L176" s="279"/>
      <c r="M176" s="279"/>
      <c r="N176"/>
    </row>
    <row r="177" spans="1:14" x14ac:dyDescent="0.25">
      <c r="A177" s="279">
        <v>168</v>
      </c>
      <c r="B177" s="390">
        <v>43998</v>
      </c>
      <c r="C177"/>
      <c r="D177"/>
      <c r="E177"/>
      <c r="F177"/>
      <c r="G177"/>
      <c r="H177"/>
      <c r="I177"/>
      <c r="J177"/>
      <c r="K177" s="279"/>
      <c r="L177" s="279"/>
      <c r="M177" s="279"/>
      <c r="N177"/>
    </row>
    <row r="178" spans="1:14" x14ac:dyDescent="0.25">
      <c r="A178" s="279">
        <v>169</v>
      </c>
      <c r="B178" s="390">
        <v>43999</v>
      </c>
      <c r="C178"/>
      <c r="D178"/>
      <c r="E178"/>
      <c r="F178"/>
      <c r="G178"/>
      <c r="H178"/>
      <c r="I178"/>
      <c r="J178"/>
      <c r="K178" s="279"/>
      <c r="L178" s="279"/>
      <c r="M178" s="279"/>
      <c r="N178"/>
    </row>
    <row r="179" spans="1:14" x14ac:dyDescent="0.25">
      <c r="A179" s="279">
        <v>170</v>
      </c>
      <c r="B179" s="390">
        <v>44000</v>
      </c>
      <c r="C179"/>
      <c r="D179"/>
      <c r="E179"/>
      <c r="F179"/>
      <c r="G179"/>
      <c r="H179"/>
      <c r="I179"/>
      <c r="J179"/>
      <c r="K179" s="279"/>
      <c r="L179" s="279"/>
      <c r="M179" s="279"/>
      <c r="N179"/>
    </row>
    <row r="180" spans="1:14" x14ac:dyDescent="0.25">
      <c r="A180" s="279">
        <v>171</v>
      </c>
      <c r="B180" s="390">
        <v>44001</v>
      </c>
      <c r="C180"/>
      <c r="D180"/>
      <c r="E180"/>
      <c r="F180"/>
      <c r="G180"/>
      <c r="H180"/>
      <c r="I180"/>
      <c r="J180"/>
      <c r="K180" s="279"/>
      <c r="L180" s="279"/>
      <c r="M180" s="279"/>
      <c r="N180"/>
    </row>
    <row r="181" spans="1:14" x14ac:dyDescent="0.25">
      <c r="A181" s="279">
        <v>172</v>
      </c>
      <c r="B181" s="391">
        <v>44002</v>
      </c>
      <c r="C181"/>
      <c r="D181"/>
      <c r="E181"/>
      <c r="F181"/>
      <c r="G181"/>
      <c r="H181"/>
      <c r="I181"/>
      <c r="J181"/>
      <c r="K181" s="279"/>
      <c r="L181" s="279"/>
      <c r="M181" s="279"/>
      <c r="N181"/>
    </row>
    <row r="182" spans="1:14" x14ac:dyDescent="0.25">
      <c r="A182" s="279">
        <v>173</v>
      </c>
      <c r="B182" s="391">
        <v>44003</v>
      </c>
      <c r="C182"/>
      <c r="D182"/>
      <c r="E182"/>
      <c r="F182"/>
      <c r="G182"/>
      <c r="H182"/>
      <c r="I182"/>
      <c r="J182"/>
      <c r="K182" s="279"/>
      <c r="L182" s="279"/>
      <c r="M182" s="279"/>
      <c r="N182"/>
    </row>
    <row r="183" spans="1:14" x14ac:dyDescent="0.25">
      <c r="A183" s="279">
        <v>174</v>
      </c>
      <c r="B183" s="390">
        <v>44004</v>
      </c>
      <c r="C183"/>
      <c r="D183"/>
      <c r="E183"/>
      <c r="F183"/>
      <c r="G183"/>
      <c r="H183"/>
      <c r="I183"/>
      <c r="J183"/>
      <c r="K183" s="279"/>
      <c r="L183" s="279"/>
      <c r="M183" s="279"/>
      <c r="N183"/>
    </row>
    <row r="184" spans="1:14" x14ac:dyDescent="0.25">
      <c r="A184" s="279">
        <v>175</v>
      </c>
      <c r="B184" s="390">
        <v>44005</v>
      </c>
      <c r="C184"/>
      <c r="D184"/>
      <c r="E184"/>
      <c r="F184"/>
      <c r="G184"/>
      <c r="H184"/>
      <c r="I184"/>
      <c r="J184"/>
      <c r="K184" s="279"/>
      <c r="L184" s="279"/>
      <c r="M184" s="279"/>
      <c r="N184"/>
    </row>
    <row r="185" spans="1:14" x14ac:dyDescent="0.25">
      <c r="A185" s="279">
        <v>176</v>
      </c>
      <c r="B185" s="390">
        <v>44006</v>
      </c>
      <c r="C185"/>
      <c r="D185"/>
      <c r="E185"/>
      <c r="F185"/>
      <c r="G185"/>
      <c r="H185"/>
      <c r="I185"/>
      <c r="J185"/>
      <c r="K185" s="279"/>
      <c r="L185" s="279"/>
      <c r="M185" s="279"/>
      <c r="N185"/>
    </row>
    <row r="186" spans="1:14" x14ac:dyDescent="0.25">
      <c r="A186" s="279">
        <v>177</v>
      </c>
      <c r="B186" s="390">
        <v>44007</v>
      </c>
      <c r="C186"/>
      <c r="D186"/>
      <c r="E186"/>
      <c r="F186"/>
      <c r="G186"/>
      <c r="H186"/>
      <c r="I186"/>
      <c r="J186"/>
      <c r="K186" s="279"/>
      <c r="L186" s="279"/>
      <c r="M186" s="279"/>
      <c r="N186"/>
    </row>
    <row r="187" spans="1:14" x14ac:dyDescent="0.25">
      <c r="A187" s="279">
        <v>178</v>
      </c>
      <c r="B187" s="390">
        <v>44008</v>
      </c>
      <c r="C187"/>
      <c r="D187"/>
      <c r="E187"/>
      <c r="F187"/>
      <c r="G187"/>
      <c r="H187"/>
      <c r="I187"/>
      <c r="J187"/>
      <c r="K187" s="279"/>
      <c r="L187" s="279"/>
      <c r="M187" s="279"/>
      <c r="N187"/>
    </row>
    <row r="188" spans="1:14" x14ac:dyDescent="0.25">
      <c r="A188" s="279">
        <v>179</v>
      </c>
      <c r="B188" s="391">
        <v>44009</v>
      </c>
      <c r="C188"/>
      <c r="D188"/>
      <c r="E188"/>
      <c r="F188"/>
      <c r="G188"/>
      <c r="H188"/>
      <c r="I188"/>
      <c r="J188"/>
      <c r="K188" s="279"/>
      <c r="L188" s="279"/>
      <c r="M188" s="279"/>
      <c r="N188"/>
    </row>
    <row r="189" spans="1:14" x14ac:dyDescent="0.25">
      <c r="A189" s="279">
        <v>180</v>
      </c>
      <c r="B189" s="391">
        <v>44010</v>
      </c>
      <c r="C189"/>
      <c r="D189"/>
      <c r="E189"/>
      <c r="F189"/>
      <c r="G189"/>
      <c r="H189"/>
      <c r="I189"/>
      <c r="J189"/>
      <c r="K189" s="279"/>
      <c r="L189" s="279"/>
      <c r="M189" s="279"/>
      <c r="N189"/>
    </row>
    <row r="190" spans="1:14" x14ac:dyDescent="0.25">
      <c r="A190" s="279">
        <v>181</v>
      </c>
      <c r="B190" s="390">
        <v>44011</v>
      </c>
      <c r="C190"/>
      <c r="D190"/>
      <c r="E190"/>
      <c r="F190"/>
      <c r="G190"/>
      <c r="H190"/>
      <c r="I190"/>
      <c r="J190"/>
      <c r="K190" s="279"/>
      <c r="L190" s="279"/>
      <c r="M190" s="279"/>
      <c r="N190"/>
    </row>
    <row r="191" spans="1:14" x14ac:dyDescent="0.25">
      <c r="A191" s="279">
        <v>182</v>
      </c>
      <c r="B191" s="390">
        <v>44012</v>
      </c>
      <c r="C191"/>
      <c r="D191"/>
      <c r="E191"/>
      <c r="F191"/>
      <c r="G191"/>
      <c r="H191"/>
      <c r="I191"/>
      <c r="J191"/>
      <c r="K191" s="279"/>
      <c r="L191" s="279"/>
      <c r="M191" s="279"/>
      <c r="N191"/>
    </row>
    <row r="192" spans="1:14" x14ac:dyDescent="0.25">
      <c r="A192" s="279">
        <v>183</v>
      </c>
      <c r="B192" s="390">
        <v>44013</v>
      </c>
      <c r="C192"/>
      <c r="D192"/>
      <c r="E192"/>
      <c r="F192"/>
      <c r="G192"/>
      <c r="H192"/>
      <c r="I192"/>
      <c r="J192"/>
      <c r="K192" s="279"/>
      <c r="L192" s="279"/>
      <c r="M192" s="279"/>
      <c r="N192"/>
    </row>
    <row r="193" spans="1:14" x14ac:dyDescent="0.25">
      <c r="A193" s="279">
        <v>184</v>
      </c>
      <c r="B193" s="390">
        <v>44014</v>
      </c>
      <c r="C193"/>
      <c r="D193"/>
      <c r="E193"/>
      <c r="F193"/>
      <c r="G193"/>
      <c r="H193"/>
      <c r="I193"/>
      <c r="J193"/>
      <c r="K193" s="279"/>
      <c r="L193" s="279"/>
      <c r="M193" s="279"/>
      <c r="N193"/>
    </row>
    <row r="194" spans="1:14" x14ac:dyDescent="0.25">
      <c r="A194" s="279">
        <v>185</v>
      </c>
      <c r="B194" s="390">
        <v>44015</v>
      </c>
      <c r="C194"/>
      <c r="D194"/>
      <c r="E194"/>
      <c r="F194"/>
      <c r="G194"/>
      <c r="H194"/>
      <c r="I194"/>
      <c r="J194"/>
      <c r="K194" s="279"/>
      <c r="L194" s="279"/>
      <c r="M194" s="279"/>
      <c r="N194"/>
    </row>
    <row r="195" spans="1:14" x14ac:dyDescent="0.25">
      <c r="A195" s="279">
        <v>186</v>
      </c>
      <c r="B195" s="391">
        <v>44016</v>
      </c>
      <c r="C195"/>
      <c r="D195"/>
      <c r="E195"/>
      <c r="F195"/>
      <c r="G195"/>
      <c r="H195"/>
      <c r="I195"/>
      <c r="J195"/>
      <c r="K195" s="279"/>
      <c r="L195" s="279"/>
      <c r="M195" s="279"/>
      <c r="N195"/>
    </row>
    <row r="196" spans="1:14" x14ac:dyDescent="0.25">
      <c r="A196" s="279">
        <v>187</v>
      </c>
      <c r="B196" s="392">
        <v>44017</v>
      </c>
      <c r="C196"/>
      <c r="D196"/>
      <c r="E196"/>
      <c r="F196"/>
      <c r="G196"/>
      <c r="H196"/>
      <c r="I196"/>
      <c r="J196"/>
      <c r="K196" s="279"/>
      <c r="L196" s="279"/>
      <c r="M196" s="279"/>
      <c r="N196"/>
    </row>
    <row r="197" spans="1:14" x14ac:dyDescent="0.25">
      <c r="A197" s="279">
        <v>188</v>
      </c>
      <c r="B197" s="392">
        <v>44018</v>
      </c>
      <c r="C197"/>
      <c r="D197"/>
      <c r="E197"/>
      <c r="F197"/>
      <c r="G197"/>
      <c r="H197"/>
      <c r="I197"/>
      <c r="J197"/>
      <c r="K197" s="279"/>
      <c r="L197" s="279"/>
      <c r="M197" s="279"/>
      <c r="N197"/>
    </row>
    <row r="198" spans="1:14" x14ac:dyDescent="0.25">
      <c r="A198" s="279">
        <v>189</v>
      </c>
      <c r="B198" s="390">
        <v>44019</v>
      </c>
      <c r="C198"/>
      <c r="D198"/>
      <c r="E198"/>
      <c r="F198"/>
      <c r="G198"/>
      <c r="H198"/>
      <c r="I198"/>
      <c r="J198"/>
      <c r="K198" s="279"/>
      <c r="L198" s="279"/>
      <c r="M198" s="279"/>
      <c r="N198"/>
    </row>
    <row r="199" spans="1:14" x14ac:dyDescent="0.25">
      <c r="A199" s="279">
        <v>190</v>
      </c>
      <c r="B199" s="390">
        <v>44020</v>
      </c>
      <c r="C199"/>
      <c r="D199"/>
      <c r="E199"/>
      <c r="F199"/>
      <c r="G199"/>
      <c r="H199"/>
      <c r="I199"/>
      <c r="J199"/>
      <c r="K199" s="279"/>
      <c r="L199" s="279"/>
      <c r="M199" s="279"/>
      <c r="N199"/>
    </row>
    <row r="200" spans="1:14" x14ac:dyDescent="0.25">
      <c r="A200" s="279">
        <v>191</v>
      </c>
      <c r="B200" s="390">
        <v>44021</v>
      </c>
      <c r="C200"/>
      <c r="D200"/>
      <c r="E200"/>
      <c r="F200"/>
      <c r="G200"/>
      <c r="H200"/>
      <c r="I200"/>
      <c r="J200"/>
      <c r="K200" s="279"/>
      <c r="L200" s="279"/>
      <c r="M200" s="279"/>
      <c r="N200"/>
    </row>
    <row r="201" spans="1:14" x14ac:dyDescent="0.25">
      <c r="A201" s="279">
        <v>192</v>
      </c>
      <c r="B201" s="390">
        <v>44022</v>
      </c>
      <c r="C201"/>
      <c r="D201"/>
      <c r="E201"/>
      <c r="F201"/>
      <c r="G201"/>
      <c r="H201"/>
      <c r="I201"/>
      <c r="J201"/>
      <c r="K201" s="279"/>
      <c r="L201" s="279"/>
      <c r="M201" s="279"/>
      <c r="N201"/>
    </row>
    <row r="202" spans="1:14" x14ac:dyDescent="0.25">
      <c r="A202" s="279">
        <v>193</v>
      </c>
      <c r="B202" s="391">
        <v>44023</v>
      </c>
      <c r="C202"/>
      <c r="D202"/>
      <c r="E202"/>
      <c r="F202"/>
      <c r="G202"/>
      <c r="H202"/>
      <c r="I202"/>
      <c r="J202"/>
      <c r="K202" s="279"/>
      <c r="L202" s="279"/>
      <c r="M202" s="279"/>
      <c r="N202"/>
    </row>
    <row r="203" spans="1:14" x14ac:dyDescent="0.25">
      <c r="A203" s="279">
        <v>194</v>
      </c>
      <c r="B203" s="391">
        <v>44024</v>
      </c>
      <c r="C203"/>
      <c r="D203"/>
      <c r="E203"/>
      <c r="F203"/>
      <c r="G203"/>
      <c r="H203"/>
      <c r="I203"/>
      <c r="J203"/>
      <c r="K203" s="279"/>
      <c r="L203" s="279"/>
      <c r="M203" s="279"/>
      <c r="N203"/>
    </row>
    <row r="204" spans="1:14" x14ac:dyDescent="0.25">
      <c r="A204" s="279">
        <v>195</v>
      </c>
      <c r="B204" s="390">
        <v>44025</v>
      </c>
      <c r="C204"/>
      <c r="D204"/>
      <c r="E204"/>
      <c r="F204"/>
      <c r="G204"/>
      <c r="H204"/>
      <c r="I204"/>
      <c r="J204"/>
      <c r="K204" s="279"/>
      <c r="L204" s="279"/>
      <c r="M204" s="279"/>
      <c r="N204"/>
    </row>
    <row r="205" spans="1:14" x14ac:dyDescent="0.25">
      <c r="A205" s="279">
        <v>196</v>
      </c>
      <c r="B205" s="390">
        <v>44026</v>
      </c>
      <c r="C205"/>
      <c r="D205"/>
      <c r="E205"/>
      <c r="F205"/>
      <c r="G205"/>
      <c r="H205"/>
      <c r="I205"/>
      <c r="J205"/>
      <c r="K205" s="279"/>
      <c r="L205" s="279"/>
      <c r="M205" s="279"/>
      <c r="N205"/>
    </row>
    <row r="206" spans="1:14" x14ac:dyDescent="0.25">
      <c r="A206" s="279">
        <v>197</v>
      </c>
      <c r="B206" s="390">
        <v>44027</v>
      </c>
      <c r="C206"/>
      <c r="D206"/>
      <c r="E206"/>
      <c r="F206"/>
      <c r="G206"/>
      <c r="H206"/>
      <c r="I206"/>
      <c r="J206"/>
      <c r="K206" s="279"/>
      <c r="L206" s="279"/>
      <c r="M206" s="279"/>
      <c r="N206"/>
    </row>
    <row r="207" spans="1:14" x14ac:dyDescent="0.25">
      <c r="A207" s="279">
        <v>198</v>
      </c>
      <c r="B207" s="390">
        <v>44028</v>
      </c>
      <c r="C207"/>
      <c r="D207"/>
      <c r="E207"/>
      <c r="F207"/>
      <c r="G207"/>
      <c r="H207"/>
      <c r="I207"/>
      <c r="J207"/>
      <c r="K207" s="279"/>
      <c r="L207" s="279"/>
      <c r="M207" s="279"/>
      <c r="N207"/>
    </row>
    <row r="208" spans="1:14" x14ac:dyDescent="0.25">
      <c r="A208" s="279">
        <v>199</v>
      </c>
      <c r="B208" s="390">
        <v>44029</v>
      </c>
      <c r="C208"/>
      <c r="D208"/>
      <c r="E208"/>
      <c r="F208"/>
      <c r="G208"/>
      <c r="H208"/>
      <c r="I208"/>
      <c r="J208"/>
      <c r="K208" s="279"/>
      <c r="L208" s="279"/>
      <c r="M208" s="279"/>
      <c r="N208"/>
    </row>
    <row r="209" spans="1:14" x14ac:dyDescent="0.25">
      <c r="A209" s="279">
        <v>200</v>
      </c>
      <c r="B209" s="391">
        <v>44030</v>
      </c>
      <c r="C209"/>
      <c r="D209"/>
      <c r="E209"/>
      <c r="F209"/>
      <c r="G209"/>
      <c r="H209"/>
      <c r="I209"/>
      <c r="J209"/>
      <c r="K209" s="279"/>
      <c r="L209" s="279"/>
      <c r="M209" s="279"/>
      <c r="N209"/>
    </row>
    <row r="210" spans="1:14" x14ac:dyDescent="0.25">
      <c r="A210" s="279">
        <v>201</v>
      </c>
      <c r="B210" s="391">
        <v>44031</v>
      </c>
      <c r="C210"/>
      <c r="D210"/>
      <c r="E210"/>
      <c r="F210"/>
      <c r="G210"/>
      <c r="H210"/>
      <c r="I210"/>
      <c r="J210"/>
      <c r="K210" s="279"/>
      <c r="L210" s="279"/>
      <c r="M210" s="279"/>
      <c r="N210"/>
    </row>
    <row r="211" spans="1:14" x14ac:dyDescent="0.25">
      <c r="A211" s="279">
        <v>202</v>
      </c>
      <c r="B211" s="390">
        <v>44032</v>
      </c>
      <c r="C211"/>
      <c r="D211"/>
      <c r="E211"/>
      <c r="F211"/>
      <c r="G211"/>
      <c r="H211"/>
      <c r="I211"/>
      <c r="J211"/>
      <c r="K211" s="279"/>
      <c r="L211" s="279"/>
      <c r="M211" s="279"/>
      <c r="N211"/>
    </row>
    <row r="212" spans="1:14" x14ac:dyDescent="0.25">
      <c r="A212" s="279">
        <v>203</v>
      </c>
      <c r="B212" s="390">
        <v>44033</v>
      </c>
      <c r="C212"/>
      <c r="D212"/>
      <c r="E212"/>
      <c r="F212"/>
      <c r="G212"/>
      <c r="H212"/>
      <c r="I212"/>
      <c r="J212"/>
      <c r="K212" s="279"/>
      <c r="L212" s="279"/>
      <c r="M212" s="279"/>
      <c r="N212"/>
    </row>
    <row r="213" spans="1:14" x14ac:dyDescent="0.25">
      <c r="A213" s="279">
        <v>204</v>
      </c>
      <c r="B213" s="390">
        <v>44034</v>
      </c>
      <c r="C213"/>
      <c r="D213"/>
      <c r="E213"/>
      <c r="F213"/>
      <c r="G213"/>
      <c r="H213"/>
      <c r="I213"/>
      <c r="J213"/>
      <c r="K213" s="279"/>
      <c r="L213" s="279"/>
      <c r="M213" s="279"/>
      <c r="N213"/>
    </row>
    <row r="214" spans="1:14" x14ac:dyDescent="0.25">
      <c r="A214" s="279">
        <v>205</v>
      </c>
      <c r="B214" s="390">
        <v>44035</v>
      </c>
      <c r="C214"/>
      <c r="D214"/>
      <c r="E214"/>
      <c r="F214"/>
      <c r="G214"/>
      <c r="H214"/>
      <c r="I214"/>
      <c r="J214"/>
      <c r="K214" s="279"/>
      <c r="L214" s="279"/>
      <c r="M214" s="279"/>
      <c r="N214"/>
    </row>
    <row r="215" spans="1:14" x14ac:dyDescent="0.25">
      <c r="A215" s="279">
        <v>206</v>
      </c>
      <c r="B215" s="390">
        <v>44036</v>
      </c>
      <c r="C215"/>
      <c r="D215"/>
      <c r="E215"/>
      <c r="F215"/>
      <c r="G215"/>
      <c r="H215"/>
      <c r="I215"/>
      <c r="J215"/>
      <c r="K215" s="279"/>
      <c r="L215" s="279"/>
      <c r="M215" s="279"/>
      <c r="N215"/>
    </row>
    <row r="216" spans="1:14" x14ac:dyDescent="0.25">
      <c r="A216" s="279">
        <v>207</v>
      </c>
      <c r="B216" s="391">
        <v>44037</v>
      </c>
      <c r="C216"/>
      <c r="D216"/>
      <c r="E216"/>
      <c r="F216"/>
      <c r="G216"/>
      <c r="H216"/>
      <c r="I216"/>
      <c r="J216"/>
      <c r="K216" s="279"/>
      <c r="L216" s="279"/>
      <c r="M216" s="279"/>
      <c r="N216"/>
    </row>
    <row r="217" spans="1:14" x14ac:dyDescent="0.25">
      <c r="A217" s="279">
        <v>208</v>
      </c>
      <c r="B217" s="391">
        <v>44038</v>
      </c>
      <c r="C217"/>
      <c r="D217"/>
      <c r="E217"/>
      <c r="F217"/>
      <c r="G217"/>
      <c r="H217"/>
      <c r="I217"/>
      <c r="J217"/>
      <c r="K217" s="279"/>
      <c r="L217" s="279"/>
      <c r="M217" s="279"/>
      <c r="N217"/>
    </row>
    <row r="218" spans="1:14" x14ac:dyDescent="0.25">
      <c r="A218" s="279">
        <v>209</v>
      </c>
      <c r="B218" s="390">
        <v>44039</v>
      </c>
      <c r="C218"/>
      <c r="D218"/>
      <c r="E218"/>
      <c r="F218"/>
      <c r="G218"/>
      <c r="H218"/>
      <c r="I218"/>
      <c r="J218"/>
      <c r="K218" s="279"/>
      <c r="L218" s="279"/>
      <c r="M218" s="279"/>
      <c r="N218"/>
    </row>
    <row r="219" spans="1:14" x14ac:dyDescent="0.25">
      <c r="A219" s="279">
        <v>210</v>
      </c>
      <c r="B219" s="390">
        <v>44040</v>
      </c>
      <c r="C219"/>
      <c r="D219"/>
      <c r="E219"/>
      <c r="F219"/>
      <c r="G219"/>
      <c r="H219"/>
      <c r="I219"/>
      <c r="J219"/>
      <c r="K219" s="279"/>
      <c r="L219" s="279"/>
      <c r="M219" s="279"/>
      <c r="N219"/>
    </row>
    <row r="220" spans="1:14" x14ac:dyDescent="0.25">
      <c r="A220" s="279">
        <v>211</v>
      </c>
      <c r="B220" s="390">
        <v>44041</v>
      </c>
      <c r="C220"/>
      <c r="D220"/>
      <c r="E220"/>
      <c r="F220"/>
      <c r="G220"/>
      <c r="H220"/>
      <c r="I220"/>
      <c r="J220"/>
      <c r="K220" s="279"/>
      <c r="L220" s="279"/>
      <c r="M220" s="279"/>
      <c r="N220"/>
    </row>
    <row r="221" spans="1:14" x14ac:dyDescent="0.25">
      <c r="A221" s="279">
        <v>212</v>
      </c>
      <c r="B221" s="390">
        <v>44042</v>
      </c>
      <c r="C221"/>
      <c r="D221"/>
      <c r="E221"/>
      <c r="F221"/>
      <c r="G221"/>
      <c r="H221"/>
      <c r="I221"/>
      <c r="J221"/>
      <c r="K221" s="279"/>
      <c r="L221" s="279"/>
      <c r="M221" s="279"/>
      <c r="N221"/>
    </row>
    <row r="222" spans="1:14" x14ac:dyDescent="0.25">
      <c r="A222" s="279">
        <v>213</v>
      </c>
      <c r="B222" s="390">
        <v>44043</v>
      </c>
      <c r="C222"/>
      <c r="D222"/>
      <c r="E222"/>
      <c r="F222"/>
      <c r="G222"/>
      <c r="H222"/>
      <c r="I222"/>
      <c r="J222"/>
      <c r="K222" s="279"/>
      <c r="L222" s="279"/>
      <c r="M222" s="279"/>
      <c r="N222"/>
    </row>
    <row r="223" spans="1:14" x14ac:dyDescent="0.25">
      <c r="A223" s="279">
        <v>214</v>
      </c>
      <c r="B223" s="391">
        <v>44044</v>
      </c>
      <c r="C223"/>
      <c r="D223"/>
      <c r="E223"/>
      <c r="F223"/>
      <c r="G223"/>
      <c r="H223"/>
      <c r="I223"/>
      <c r="J223"/>
      <c r="K223" s="279"/>
      <c r="L223" s="279"/>
      <c r="M223" s="279"/>
      <c r="N223"/>
    </row>
    <row r="224" spans="1:14" x14ac:dyDescent="0.25">
      <c r="A224" s="279">
        <v>215</v>
      </c>
      <c r="B224" s="391">
        <v>44045</v>
      </c>
      <c r="C224"/>
      <c r="D224"/>
      <c r="E224"/>
      <c r="F224"/>
      <c r="G224"/>
      <c r="H224"/>
      <c r="I224"/>
      <c r="J224"/>
      <c r="K224" s="279"/>
      <c r="L224" s="279"/>
      <c r="M224" s="279"/>
      <c r="N224"/>
    </row>
    <row r="225" spans="1:14" x14ac:dyDescent="0.25">
      <c r="A225" s="279">
        <v>216</v>
      </c>
      <c r="B225" s="390">
        <v>44046</v>
      </c>
      <c r="C225"/>
      <c r="D225"/>
      <c r="E225"/>
      <c r="F225"/>
      <c r="G225"/>
      <c r="H225"/>
      <c r="I225"/>
      <c r="J225"/>
      <c r="K225" s="279"/>
      <c r="L225" s="279"/>
      <c r="M225" s="279"/>
      <c r="N225"/>
    </row>
    <row r="226" spans="1:14" x14ac:dyDescent="0.25">
      <c r="A226" s="279">
        <v>217</v>
      </c>
      <c r="B226" s="390">
        <v>44047</v>
      </c>
      <c r="C226"/>
      <c r="D226"/>
      <c r="E226"/>
      <c r="F226"/>
      <c r="G226"/>
      <c r="H226"/>
      <c r="I226"/>
      <c r="J226"/>
      <c r="K226" s="279"/>
      <c r="L226" s="279"/>
      <c r="M226" s="279"/>
      <c r="N226"/>
    </row>
    <row r="227" spans="1:14" x14ac:dyDescent="0.25">
      <c r="A227" s="279">
        <v>218</v>
      </c>
      <c r="B227" s="390">
        <v>44048</v>
      </c>
      <c r="C227"/>
      <c r="D227"/>
      <c r="E227"/>
      <c r="F227"/>
      <c r="G227"/>
      <c r="H227"/>
      <c r="I227"/>
      <c r="J227"/>
      <c r="K227" s="279"/>
      <c r="L227" s="279"/>
      <c r="M227" s="279"/>
      <c r="N227"/>
    </row>
    <row r="228" spans="1:14" x14ac:dyDescent="0.25">
      <c r="A228" s="279">
        <v>219</v>
      </c>
      <c r="B228" s="390">
        <v>44049</v>
      </c>
      <c r="C228"/>
      <c r="D228"/>
      <c r="E228"/>
      <c r="F228"/>
      <c r="G228"/>
      <c r="H228"/>
      <c r="I228"/>
      <c r="J228"/>
      <c r="K228" s="279"/>
      <c r="L228" s="279"/>
      <c r="M228" s="279"/>
      <c r="N228"/>
    </row>
    <row r="229" spans="1:14" x14ac:dyDescent="0.25">
      <c r="A229" s="279">
        <v>220</v>
      </c>
      <c r="B229" s="390">
        <v>44050</v>
      </c>
      <c r="C229"/>
      <c r="D229"/>
      <c r="E229"/>
      <c r="F229"/>
      <c r="G229"/>
      <c r="H229"/>
      <c r="I229"/>
      <c r="J229"/>
      <c r="K229" s="279"/>
      <c r="L229" s="279"/>
      <c r="M229" s="279"/>
      <c r="N229"/>
    </row>
    <row r="230" spans="1:14" x14ac:dyDescent="0.25">
      <c r="A230" s="279">
        <v>221</v>
      </c>
      <c r="B230" s="391">
        <v>44051</v>
      </c>
      <c r="C230"/>
      <c r="D230"/>
      <c r="E230"/>
      <c r="F230"/>
      <c r="G230"/>
      <c r="H230"/>
      <c r="I230"/>
      <c r="J230"/>
      <c r="K230" s="279"/>
      <c r="L230" s="279"/>
      <c r="M230" s="279"/>
      <c r="N230"/>
    </row>
    <row r="231" spans="1:14" x14ac:dyDescent="0.25">
      <c r="A231" s="279">
        <v>222</v>
      </c>
      <c r="B231" s="391">
        <v>44052</v>
      </c>
      <c r="C231"/>
      <c r="D231"/>
      <c r="E231"/>
      <c r="F231"/>
      <c r="G231"/>
      <c r="H231"/>
      <c r="I231"/>
      <c r="J231"/>
      <c r="K231" s="279"/>
      <c r="L231" s="279"/>
      <c r="M231" s="279"/>
      <c r="N231"/>
    </row>
    <row r="232" spans="1:14" x14ac:dyDescent="0.25">
      <c r="A232" s="279">
        <v>223</v>
      </c>
      <c r="B232" s="390">
        <v>44053</v>
      </c>
      <c r="C232"/>
      <c r="D232"/>
      <c r="E232"/>
      <c r="F232"/>
      <c r="G232"/>
      <c r="H232"/>
      <c r="I232"/>
      <c r="J232"/>
      <c r="K232" s="279"/>
      <c r="L232" s="279"/>
      <c r="M232" s="279"/>
      <c r="N232"/>
    </row>
    <row r="233" spans="1:14" x14ac:dyDescent="0.25">
      <c r="A233" s="279">
        <v>224</v>
      </c>
      <c r="B233" s="390">
        <v>44054</v>
      </c>
      <c r="C233"/>
      <c r="D233"/>
      <c r="E233"/>
      <c r="F233"/>
      <c r="G233"/>
      <c r="H233"/>
      <c r="I233"/>
      <c r="J233"/>
      <c r="K233" s="279"/>
      <c r="L233" s="279"/>
      <c r="M233" s="279"/>
      <c r="N233"/>
    </row>
    <row r="234" spans="1:14" x14ac:dyDescent="0.25">
      <c r="A234" s="279">
        <v>225</v>
      </c>
      <c r="B234" s="390">
        <v>44055</v>
      </c>
      <c r="C234"/>
      <c r="D234"/>
      <c r="E234"/>
      <c r="F234"/>
      <c r="G234"/>
      <c r="H234"/>
      <c r="I234"/>
      <c r="J234"/>
      <c r="K234" s="279"/>
      <c r="L234" s="279"/>
      <c r="M234" s="279"/>
      <c r="N234"/>
    </row>
    <row r="235" spans="1:14" x14ac:dyDescent="0.25">
      <c r="A235" s="279">
        <v>226</v>
      </c>
      <c r="B235" s="390">
        <v>44056</v>
      </c>
      <c r="C235"/>
      <c r="D235"/>
      <c r="E235"/>
      <c r="F235"/>
      <c r="G235"/>
      <c r="H235"/>
      <c r="I235"/>
      <c r="J235"/>
      <c r="K235" s="279"/>
      <c r="L235" s="279"/>
      <c r="M235" s="279"/>
      <c r="N235"/>
    </row>
    <row r="236" spans="1:14" x14ac:dyDescent="0.25">
      <c r="A236" s="279">
        <v>227</v>
      </c>
      <c r="B236" s="390">
        <v>44057</v>
      </c>
      <c r="C236"/>
      <c r="D236"/>
      <c r="E236"/>
      <c r="F236"/>
      <c r="G236"/>
      <c r="H236"/>
      <c r="I236"/>
      <c r="J236"/>
      <c r="K236" s="279"/>
      <c r="L236" s="279"/>
      <c r="M236" s="279"/>
      <c r="N236"/>
    </row>
    <row r="237" spans="1:14" x14ac:dyDescent="0.25">
      <c r="A237" s="279">
        <v>228</v>
      </c>
      <c r="B237" s="391">
        <v>44058</v>
      </c>
      <c r="C237"/>
      <c r="D237"/>
      <c r="E237"/>
      <c r="F237"/>
      <c r="G237"/>
      <c r="H237"/>
      <c r="I237"/>
      <c r="J237"/>
      <c r="K237" s="279"/>
      <c r="L237" s="279"/>
      <c r="M237" s="279"/>
      <c r="N237"/>
    </row>
    <row r="238" spans="1:14" x14ac:dyDescent="0.25">
      <c r="A238" s="279">
        <v>229</v>
      </c>
      <c r="B238" s="391">
        <v>44059</v>
      </c>
      <c r="C238"/>
      <c r="D238"/>
      <c r="E238"/>
      <c r="F238"/>
      <c r="G238"/>
      <c r="H238"/>
      <c r="I238"/>
      <c r="J238"/>
      <c r="K238" s="279"/>
      <c r="L238" s="279"/>
      <c r="M238" s="279"/>
      <c r="N238"/>
    </row>
    <row r="239" spans="1:14" x14ac:dyDescent="0.25">
      <c r="A239" s="279">
        <v>230</v>
      </c>
      <c r="B239" s="390">
        <v>44060</v>
      </c>
      <c r="C239"/>
      <c r="D239"/>
      <c r="E239"/>
      <c r="F239"/>
      <c r="G239"/>
      <c r="H239"/>
      <c r="I239"/>
      <c r="J239"/>
      <c r="K239" s="279"/>
      <c r="L239" s="279"/>
      <c r="M239" s="279"/>
      <c r="N239"/>
    </row>
    <row r="240" spans="1:14" x14ac:dyDescent="0.25">
      <c r="A240" s="279">
        <v>231</v>
      </c>
      <c r="B240" s="390">
        <v>44061</v>
      </c>
      <c r="C240"/>
      <c r="D240"/>
      <c r="E240"/>
      <c r="F240"/>
      <c r="G240"/>
      <c r="H240"/>
      <c r="I240"/>
      <c r="J240"/>
      <c r="K240" s="279"/>
      <c r="L240" s="279"/>
      <c r="M240" s="279"/>
      <c r="N240"/>
    </row>
    <row r="241" spans="1:14" x14ac:dyDescent="0.25">
      <c r="A241" s="279">
        <v>232</v>
      </c>
      <c r="B241" s="390">
        <v>44062</v>
      </c>
      <c r="C241"/>
      <c r="D241"/>
      <c r="E241"/>
      <c r="F241"/>
      <c r="G241"/>
      <c r="H241"/>
      <c r="I241"/>
      <c r="J241"/>
      <c r="K241" s="279"/>
      <c r="L241" s="279"/>
      <c r="M241" s="279"/>
      <c r="N241"/>
    </row>
    <row r="242" spans="1:14" x14ac:dyDescent="0.25">
      <c r="A242" s="279">
        <v>233</v>
      </c>
      <c r="B242" s="390">
        <v>44063</v>
      </c>
      <c r="C242"/>
      <c r="D242"/>
      <c r="E242"/>
      <c r="F242"/>
      <c r="G242"/>
      <c r="H242"/>
      <c r="I242"/>
      <c r="J242"/>
      <c r="K242" s="279"/>
      <c r="L242" s="279"/>
      <c r="M242" s="279"/>
      <c r="N242"/>
    </row>
    <row r="243" spans="1:14" x14ac:dyDescent="0.25">
      <c r="A243" s="279">
        <v>234</v>
      </c>
      <c r="B243" s="390">
        <v>44064</v>
      </c>
      <c r="C243"/>
      <c r="D243"/>
      <c r="E243"/>
      <c r="F243"/>
      <c r="G243"/>
      <c r="H243"/>
      <c r="I243"/>
      <c r="J243"/>
      <c r="K243" s="279"/>
      <c r="L243" s="279"/>
      <c r="M243" s="279"/>
      <c r="N243"/>
    </row>
    <row r="244" spans="1:14" x14ac:dyDescent="0.25">
      <c r="A244" s="279">
        <v>235</v>
      </c>
      <c r="B244" s="391">
        <v>44065</v>
      </c>
      <c r="C244"/>
      <c r="D244"/>
      <c r="E244"/>
      <c r="F244"/>
      <c r="G244"/>
      <c r="H244"/>
      <c r="I244"/>
      <c r="J244"/>
      <c r="K244" s="279"/>
      <c r="L244" s="279"/>
      <c r="M244" s="279"/>
      <c r="N244"/>
    </row>
    <row r="245" spans="1:14" x14ac:dyDescent="0.25">
      <c r="A245" s="279">
        <v>236</v>
      </c>
      <c r="B245" s="391">
        <v>44066</v>
      </c>
      <c r="C245"/>
      <c r="D245"/>
      <c r="E245"/>
      <c r="F245"/>
      <c r="G245"/>
      <c r="H245"/>
      <c r="I245"/>
      <c r="J245"/>
      <c r="K245" s="279"/>
      <c r="L245" s="279"/>
      <c r="M245" s="279"/>
      <c r="N245"/>
    </row>
    <row r="246" spans="1:14" x14ac:dyDescent="0.25">
      <c r="A246" s="279">
        <v>237</v>
      </c>
      <c r="B246" s="390">
        <v>44067</v>
      </c>
      <c r="C246"/>
      <c r="D246"/>
      <c r="E246"/>
      <c r="F246"/>
      <c r="G246"/>
      <c r="H246"/>
      <c r="I246"/>
      <c r="J246"/>
      <c r="K246" s="279"/>
      <c r="L246" s="279"/>
      <c r="M246" s="279"/>
      <c r="N246"/>
    </row>
    <row r="247" spans="1:14" x14ac:dyDescent="0.25">
      <c r="A247" s="279">
        <v>238</v>
      </c>
      <c r="B247" s="390">
        <v>44068</v>
      </c>
      <c r="C247"/>
      <c r="D247"/>
      <c r="E247"/>
      <c r="F247"/>
      <c r="G247"/>
      <c r="H247"/>
      <c r="I247"/>
      <c r="J247"/>
      <c r="K247" s="279"/>
      <c r="L247" s="279"/>
      <c r="M247" s="279"/>
      <c r="N247"/>
    </row>
    <row r="248" spans="1:14" x14ac:dyDescent="0.25">
      <c r="A248" s="279">
        <v>239</v>
      </c>
      <c r="B248" s="390">
        <v>44069</v>
      </c>
      <c r="C248"/>
      <c r="D248"/>
      <c r="E248"/>
      <c r="F248"/>
      <c r="G248"/>
      <c r="H248"/>
      <c r="I248"/>
      <c r="J248"/>
      <c r="K248" s="279"/>
      <c r="L248" s="279"/>
      <c r="M248" s="279"/>
      <c r="N248"/>
    </row>
    <row r="249" spans="1:14" x14ac:dyDescent="0.25">
      <c r="A249" s="279">
        <v>240</v>
      </c>
      <c r="B249" s="390">
        <v>44070</v>
      </c>
      <c r="C249"/>
      <c r="D249"/>
      <c r="E249"/>
      <c r="F249"/>
      <c r="G249"/>
      <c r="H249"/>
      <c r="I249"/>
      <c r="J249"/>
      <c r="K249" s="279"/>
      <c r="L249" s="279"/>
      <c r="M249" s="279"/>
      <c r="N249"/>
    </row>
    <row r="250" spans="1:14" x14ac:dyDescent="0.25">
      <c r="A250" s="279">
        <v>241</v>
      </c>
      <c r="B250" s="390">
        <v>44071</v>
      </c>
      <c r="C250"/>
      <c r="D250"/>
      <c r="E250"/>
      <c r="F250"/>
      <c r="G250"/>
      <c r="H250"/>
      <c r="I250"/>
      <c r="J250"/>
      <c r="K250" s="279"/>
      <c r="L250" s="279"/>
      <c r="M250" s="279"/>
      <c r="N250"/>
    </row>
    <row r="251" spans="1:14" x14ac:dyDescent="0.25">
      <c r="A251" s="279">
        <v>242</v>
      </c>
      <c r="B251" s="391">
        <v>44072</v>
      </c>
      <c r="C251"/>
      <c r="D251"/>
      <c r="E251"/>
      <c r="F251"/>
      <c r="G251"/>
      <c r="H251"/>
      <c r="I251"/>
      <c r="J251"/>
      <c r="K251" s="279"/>
      <c r="L251" s="279"/>
      <c r="M251" s="279"/>
      <c r="N251"/>
    </row>
    <row r="252" spans="1:14" x14ac:dyDescent="0.25">
      <c r="A252" s="279">
        <v>243</v>
      </c>
      <c r="B252" s="391">
        <v>44073</v>
      </c>
      <c r="C252"/>
      <c r="D252"/>
      <c r="E252"/>
      <c r="F252"/>
      <c r="G252"/>
      <c r="H252"/>
      <c r="I252"/>
      <c r="J252"/>
      <c r="K252" s="279"/>
      <c r="L252" s="279"/>
      <c r="M252" s="279"/>
      <c r="N252"/>
    </row>
    <row r="253" spans="1:14" x14ac:dyDescent="0.25">
      <c r="A253" s="279">
        <v>244</v>
      </c>
      <c r="B253" s="390">
        <v>44074</v>
      </c>
      <c r="C253"/>
      <c r="D253"/>
      <c r="E253"/>
      <c r="F253"/>
      <c r="G253"/>
      <c r="H253"/>
      <c r="I253"/>
      <c r="J253"/>
      <c r="K253" s="279"/>
      <c r="L253" s="279"/>
      <c r="M253" s="279"/>
      <c r="N253"/>
    </row>
    <row r="254" spans="1:14" x14ac:dyDescent="0.25">
      <c r="A254" s="279">
        <v>245</v>
      </c>
      <c r="B254" s="390">
        <v>44075</v>
      </c>
      <c r="C254"/>
      <c r="D254"/>
      <c r="E254"/>
      <c r="F254"/>
      <c r="G254"/>
      <c r="H254"/>
      <c r="I254"/>
      <c r="J254"/>
      <c r="K254" s="279"/>
      <c r="L254" s="279"/>
      <c r="M254" s="279"/>
      <c r="N254"/>
    </row>
    <row r="255" spans="1:14" x14ac:dyDescent="0.25">
      <c r="A255" s="279">
        <v>246</v>
      </c>
      <c r="B255" s="390">
        <v>44076</v>
      </c>
      <c r="C255"/>
      <c r="D255"/>
      <c r="E255"/>
      <c r="F255"/>
      <c r="G255"/>
      <c r="H255"/>
      <c r="I255"/>
      <c r="J255"/>
      <c r="K255" s="279"/>
      <c r="L255" s="279"/>
      <c r="M255" s="279"/>
      <c r="N255"/>
    </row>
    <row r="256" spans="1:14" x14ac:dyDescent="0.25">
      <c r="A256" s="279">
        <v>247</v>
      </c>
      <c r="B256" s="390">
        <v>44077</v>
      </c>
      <c r="C256"/>
      <c r="D256"/>
      <c r="E256"/>
      <c r="F256"/>
      <c r="G256"/>
      <c r="H256"/>
      <c r="I256"/>
      <c r="J256"/>
      <c r="K256" s="279"/>
      <c r="L256" s="279"/>
      <c r="M256" s="279"/>
      <c r="N256"/>
    </row>
    <row r="257" spans="1:14" x14ac:dyDescent="0.25">
      <c r="A257" s="279">
        <v>248</v>
      </c>
      <c r="B257" s="390">
        <v>44078</v>
      </c>
      <c r="C257"/>
      <c r="D257"/>
      <c r="E257"/>
      <c r="F257"/>
      <c r="G257"/>
      <c r="H257"/>
      <c r="I257"/>
      <c r="J257"/>
      <c r="K257" s="279"/>
      <c r="L257" s="279"/>
      <c r="M257" s="279"/>
      <c r="N257"/>
    </row>
    <row r="258" spans="1:14" x14ac:dyDescent="0.25">
      <c r="A258" s="279">
        <v>249</v>
      </c>
      <c r="B258" s="391">
        <v>44079</v>
      </c>
      <c r="C258"/>
      <c r="D258"/>
      <c r="E258"/>
      <c r="F258"/>
      <c r="G258"/>
      <c r="H258"/>
      <c r="I258"/>
      <c r="J258"/>
      <c r="K258" s="279"/>
      <c r="L258" s="279"/>
      <c r="M258" s="279"/>
      <c r="N258"/>
    </row>
    <row r="259" spans="1:14" x14ac:dyDescent="0.25">
      <c r="A259" s="279">
        <v>250</v>
      </c>
      <c r="B259" s="391">
        <v>44080</v>
      </c>
      <c r="C259"/>
      <c r="D259"/>
      <c r="E259"/>
      <c r="F259"/>
      <c r="G259"/>
      <c r="H259"/>
      <c r="I259"/>
      <c r="J259"/>
      <c r="K259" s="279"/>
      <c r="L259" s="279"/>
      <c r="M259" s="279"/>
      <c r="N259"/>
    </row>
    <row r="260" spans="1:14" x14ac:dyDescent="0.25">
      <c r="A260" s="279">
        <v>251</v>
      </c>
      <c r="B260" s="390">
        <v>44081</v>
      </c>
      <c r="C260"/>
      <c r="D260"/>
      <c r="E260"/>
      <c r="F260"/>
      <c r="G260"/>
      <c r="H260"/>
      <c r="I260"/>
      <c r="J260"/>
      <c r="K260" s="279"/>
      <c r="L260" s="279"/>
      <c r="M260" s="279"/>
      <c r="N260"/>
    </row>
    <row r="261" spans="1:14" x14ac:dyDescent="0.25">
      <c r="A261" s="279">
        <v>252</v>
      </c>
      <c r="B261" s="390">
        <v>44082</v>
      </c>
      <c r="C261"/>
      <c r="D261"/>
      <c r="E261"/>
      <c r="F261"/>
      <c r="G261"/>
      <c r="H261"/>
      <c r="I261"/>
      <c r="J261"/>
      <c r="K261" s="279"/>
      <c r="L261" s="279"/>
      <c r="M261" s="279"/>
      <c r="N261"/>
    </row>
    <row r="262" spans="1:14" x14ac:dyDescent="0.25">
      <c r="A262" s="279">
        <v>253</v>
      </c>
      <c r="B262" s="390">
        <v>44083</v>
      </c>
      <c r="C262"/>
      <c r="D262"/>
      <c r="E262"/>
      <c r="F262"/>
      <c r="G262"/>
      <c r="H262"/>
      <c r="I262"/>
      <c r="J262"/>
      <c r="K262" s="279"/>
      <c r="L262" s="279"/>
      <c r="M262" s="279"/>
      <c r="N262"/>
    </row>
    <row r="263" spans="1:14" x14ac:dyDescent="0.25">
      <c r="A263" s="279">
        <v>254</v>
      </c>
      <c r="B263" s="390">
        <v>44084</v>
      </c>
      <c r="C263"/>
      <c r="D263"/>
      <c r="E263"/>
      <c r="F263"/>
      <c r="G263"/>
      <c r="H263"/>
      <c r="I263"/>
      <c r="J263"/>
      <c r="K263" s="279"/>
      <c r="L263" s="279"/>
      <c r="M263" s="279"/>
      <c r="N263"/>
    </row>
    <row r="264" spans="1:14" x14ac:dyDescent="0.25">
      <c r="A264" s="279">
        <v>255</v>
      </c>
      <c r="B264" s="390">
        <v>44085</v>
      </c>
      <c r="C264"/>
      <c r="D264"/>
      <c r="E264"/>
      <c r="F264"/>
      <c r="G264"/>
      <c r="H264"/>
      <c r="I264"/>
      <c r="J264"/>
      <c r="K264" s="279"/>
      <c r="L264" s="279"/>
      <c r="M264" s="279"/>
      <c r="N264"/>
    </row>
    <row r="265" spans="1:14" x14ac:dyDescent="0.25">
      <c r="A265" s="279">
        <v>256</v>
      </c>
      <c r="B265" s="391">
        <v>44086</v>
      </c>
      <c r="C265"/>
      <c r="D265"/>
      <c r="E265"/>
      <c r="F265"/>
      <c r="G265"/>
      <c r="H265"/>
      <c r="I265"/>
      <c r="J265"/>
      <c r="K265" s="279"/>
      <c r="L265" s="279"/>
      <c r="M265" s="279"/>
      <c r="N265"/>
    </row>
    <row r="266" spans="1:14" x14ac:dyDescent="0.25">
      <c r="A266" s="279">
        <v>257</v>
      </c>
      <c r="B266" s="391">
        <v>44087</v>
      </c>
      <c r="C266"/>
      <c r="D266"/>
      <c r="E266"/>
      <c r="F266"/>
      <c r="G266"/>
      <c r="H266"/>
      <c r="I266"/>
      <c r="J266"/>
      <c r="K266" s="279"/>
      <c r="L266" s="279"/>
      <c r="M266" s="279"/>
      <c r="N266"/>
    </row>
    <row r="267" spans="1:14" x14ac:dyDescent="0.25">
      <c r="A267" s="279">
        <v>258</v>
      </c>
      <c r="B267" s="390">
        <v>44088</v>
      </c>
      <c r="C267"/>
      <c r="D267"/>
      <c r="E267"/>
      <c r="F267"/>
      <c r="G267"/>
      <c r="H267"/>
      <c r="I267"/>
      <c r="J267"/>
      <c r="K267" s="279"/>
      <c r="L267" s="279"/>
      <c r="M267" s="279"/>
      <c r="N267"/>
    </row>
    <row r="268" spans="1:14" x14ac:dyDescent="0.25">
      <c r="A268" s="279">
        <v>259</v>
      </c>
      <c r="B268" s="390">
        <v>44089</v>
      </c>
      <c r="C268"/>
      <c r="D268"/>
      <c r="E268"/>
      <c r="F268"/>
      <c r="G268"/>
      <c r="H268"/>
      <c r="I268"/>
      <c r="J268"/>
      <c r="K268" s="279"/>
      <c r="L268" s="279"/>
      <c r="M268" s="279"/>
      <c r="N268"/>
    </row>
    <row r="269" spans="1:14" x14ac:dyDescent="0.25">
      <c r="A269" s="279">
        <v>260</v>
      </c>
      <c r="B269" s="390">
        <v>44090</v>
      </c>
      <c r="C269"/>
      <c r="D269"/>
      <c r="E269"/>
      <c r="F269"/>
      <c r="G269"/>
      <c r="H269"/>
      <c r="I269"/>
      <c r="J269"/>
      <c r="K269" s="279"/>
      <c r="L269" s="279"/>
      <c r="M269" s="279"/>
      <c r="N269"/>
    </row>
    <row r="270" spans="1:14" x14ac:dyDescent="0.25">
      <c r="A270" s="279">
        <v>261</v>
      </c>
      <c r="B270" s="390">
        <v>44091</v>
      </c>
      <c r="C270"/>
      <c r="D270"/>
      <c r="E270"/>
      <c r="F270"/>
      <c r="G270"/>
      <c r="H270"/>
      <c r="I270"/>
      <c r="J270"/>
      <c r="K270" s="279"/>
      <c r="L270" s="279"/>
      <c r="M270" s="279"/>
      <c r="N270"/>
    </row>
    <row r="271" spans="1:14" x14ac:dyDescent="0.25">
      <c r="A271" s="279">
        <v>262</v>
      </c>
      <c r="B271" s="390">
        <v>44092</v>
      </c>
      <c r="C271"/>
      <c r="D271"/>
      <c r="E271"/>
      <c r="F271"/>
      <c r="G271"/>
      <c r="H271"/>
      <c r="I271"/>
      <c r="J271"/>
      <c r="K271" s="279"/>
      <c r="L271" s="279"/>
      <c r="M271" s="279"/>
      <c r="N271"/>
    </row>
    <row r="272" spans="1:14" x14ac:dyDescent="0.25">
      <c r="A272" s="279">
        <v>263</v>
      </c>
      <c r="B272" s="391">
        <v>44093</v>
      </c>
      <c r="C272"/>
      <c r="D272"/>
      <c r="E272"/>
      <c r="F272"/>
      <c r="G272"/>
      <c r="H272"/>
      <c r="I272"/>
      <c r="J272"/>
      <c r="K272" s="279"/>
      <c r="L272" s="279"/>
      <c r="M272" s="279"/>
      <c r="N272"/>
    </row>
    <row r="273" spans="1:14" x14ac:dyDescent="0.25">
      <c r="A273" s="279">
        <v>264</v>
      </c>
      <c r="B273" s="391">
        <v>44094</v>
      </c>
      <c r="C273"/>
      <c r="D273"/>
      <c r="E273"/>
      <c r="F273"/>
      <c r="G273"/>
      <c r="H273"/>
      <c r="I273"/>
      <c r="J273"/>
      <c r="K273" s="279"/>
      <c r="L273" s="279"/>
      <c r="M273" s="279"/>
      <c r="N273"/>
    </row>
    <row r="274" spans="1:14" x14ac:dyDescent="0.25">
      <c r="A274" s="279">
        <v>265</v>
      </c>
      <c r="B274" s="390">
        <v>44095</v>
      </c>
      <c r="C274"/>
      <c r="D274"/>
      <c r="E274"/>
      <c r="F274"/>
      <c r="G274"/>
      <c r="H274"/>
      <c r="I274"/>
      <c r="J274"/>
      <c r="K274" s="279"/>
      <c r="L274" s="279"/>
      <c r="M274" s="279"/>
      <c r="N274"/>
    </row>
    <row r="275" spans="1:14" x14ac:dyDescent="0.25">
      <c r="A275" s="279">
        <v>266</v>
      </c>
      <c r="B275" s="390">
        <v>44096</v>
      </c>
      <c r="C275"/>
      <c r="D275"/>
      <c r="E275"/>
      <c r="F275"/>
      <c r="G275"/>
      <c r="H275"/>
      <c r="I275"/>
      <c r="J275"/>
      <c r="K275" s="279"/>
      <c r="L275" s="279"/>
      <c r="M275" s="279"/>
      <c r="N275"/>
    </row>
    <row r="276" spans="1:14" x14ac:dyDescent="0.25">
      <c r="A276" s="279">
        <v>267</v>
      </c>
      <c r="B276" s="390">
        <v>44097</v>
      </c>
      <c r="C276"/>
      <c r="D276"/>
      <c r="E276"/>
      <c r="F276"/>
      <c r="G276"/>
      <c r="H276"/>
      <c r="I276"/>
      <c r="J276"/>
      <c r="K276" s="279"/>
      <c r="L276" s="279"/>
      <c r="M276" s="279"/>
      <c r="N276"/>
    </row>
    <row r="277" spans="1:14" x14ac:dyDescent="0.25">
      <c r="A277" s="279">
        <v>268</v>
      </c>
      <c r="B277" s="390">
        <v>44098</v>
      </c>
      <c r="C277"/>
      <c r="D277"/>
      <c r="E277"/>
      <c r="F277"/>
      <c r="G277"/>
      <c r="H277"/>
      <c r="I277"/>
      <c r="J277"/>
      <c r="K277" s="279"/>
      <c r="L277" s="279"/>
      <c r="M277" s="279"/>
      <c r="N277"/>
    </row>
    <row r="278" spans="1:14" x14ac:dyDescent="0.25">
      <c r="A278" s="279">
        <v>269</v>
      </c>
      <c r="B278" s="390">
        <v>44099</v>
      </c>
      <c r="C278"/>
      <c r="D278"/>
      <c r="E278"/>
      <c r="F278"/>
      <c r="G278"/>
      <c r="H278"/>
      <c r="I278"/>
      <c r="J278"/>
      <c r="K278" s="279"/>
      <c r="L278" s="279"/>
      <c r="M278" s="279"/>
      <c r="N278"/>
    </row>
    <row r="279" spans="1:14" x14ac:dyDescent="0.25">
      <c r="A279" s="279">
        <v>270</v>
      </c>
      <c r="B279" s="391">
        <v>44100</v>
      </c>
      <c r="C279"/>
      <c r="D279"/>
      <c r="E279"/>
      <c r="F279"/>
      <c r="G279"/>
      <c r="H279"/>
      <c r="I279"/>
      <c r="J279"/>
      <c r="K279" s="279"/>
      <c r="L279" s="279"/>
      <c r="M279" s="279"/>
      <c r="N279"/>
    </row>
    <row r="280" spans="1:14" x14ac:dyDescent="0.25">
      <c r="A280" s="279">
        <v>271</v>
      </c>
      <c r="B280" s="391">
        <v>44101</v>
      </c>
      <c r="C280"/>
      <c r="D280"/>
      <c r="E280"/>
      <c r="F280"/>
      <c r="G280"/>
      <c r="H280"/>
      <c r="I280"/>
      <c r="J280"/>
      <c r="K280" s="279"/>
      <c r="L280" s="279"/>
      <c r="M280" s="279"/>
      <c r="N280"/>
    </row>
    <row r="281" spans="1:14" x14ac:dyDescent="0.25">
      <c r="A281" s="279">
        <v>272</v>
      </c>
      <c r="B281" s="392">
        <v>44102</v>
      </c>
      <c r="C281"/>
      <c r="D281"/>
      <c r="E281"/>
      <c r="F281"/>
      <c r="G281"/>
      <c r="H281"/>
      <c r="I281"/>
      <c r="J281"/>
      <c r="K281" s="279"/>
      <c r="L281" s="279"/>
      <c r="M281" s="279"/>
      <c r="N281"/>
    </row>
    <row r="282" spans="1:14" x14ac:dyDescent="0.25">
      <c r="A282" s="279">
        <v>273</v>
      </c>
      <c r="B282" s="390">
        <v>44103</v>
      </c>
      <c r="C282"/>
      <c r="D282"/>
      <c r="E282"/>
      <c r="F282"/>
      <c r="G282"/>
      <c r="H282"/>
      <c r="I282"/>
      <c r="J282"/>
      <c r="K282" s="279"/>
      <c r="L282" s="279"/>
      <c r="M282" s="279"/>
      <c r="N282"/>
    </row>
    <row r="283" spans="1:14" x14ac:dyDescent="0.25">
      <c r="A283" s="279">
        <v>274</v>
      </c>
      <c r="B283" s="390">
        <v>44104</v>
      </c>
      <c r="C283"/>
      <c r="D283"/>
      <c r="E283"/>
      <c r="F283"/>
      <c r="G283"/>
      <c r="H283"/>
      <c r="I283"/>
      <c r="J283"/>
      <c r="K283" s="279"/>
      <c r="L283" s="279"/>
      <c r="M283" s="279"/>
      <c r="N283"/>
    </row>
    <row r="284" spans="1:14" x14ac:dyDescent="0.25">
      <c r="A284" s="279">
        <v>275</v>
      </c>
      <c r="B284" s="390">
        <v>44105</v>
      </c>
      <c r="C284"/>
      <c r="D284"/>
      <c r="E284"/>
      <c r="F284"/>
      <c r="G284"/>
      <c r="H284"/>
      <c r="I284"/>
      <c r="J284"/>
      <c r="K284" s="279"/>
      <c r="L284" s="279"/>
      <c r="M284" s="279"/>
      <c r="N284"/>
    </row>
    <row r="285" spans="1:14" x14ac:dyDescent="0.25">
      <c r="A285" s="279">
        <v>276</v>
      </c>
      <c r="B285" s="390">
        <v>44106</v>
      </c>
      <c r="C285"/>
      <c r="D285"/>
      <c r="E285"/>
      <c r="F285"/>
      <c r="G285"/>
      <c r="H285"/>
      <c r="I285"/>
      <c r="J285"/>
      <c r="K285" s="279"/>
      <c r="L285" s="279"/>
      <c r="M285" s="279"/>
      <c r="N285"/>
    </row>
    <row r="286" spans="1:14" x14ac:dyDescent="0.25">
      <c r="A286" s="279">
        <v>277</v>
      </c>
      <c r="B286" s="391">
        <v>44107</v>
      </c>
      <c r="C286"/>
      <c r="D286"/>
      <c r="E286"/>
      <c r="F286"/>
      <c r="G286"/>
      <c r="H286"/>
      <c r="I286"/>
      <c r="J286"/>
      <c r="K286" s="279"/>
      <c r="L286" s="279"/>
      <c r="M286" s="279"/>
      <c r="N286"/>
    </row>
    <row r="287" spans="1:14" x14ac:dyDescent="0.25">
      <c r="A287" s="279">
        <v>278</v>
      </c>
      <c r="B287" s="391">
        <v>44108</v>
      </c>
      <c r="C287"/>
      <c r="D287"/>
      <c r="E287"/>
      <c r="F287"/>
      <c r="G287"/>
      <c r="H287"/>
      <c r="I287"/>
      <c r="J287"/>
      <c r="K287" s="279"/>
      <c r="L287" s="279"/>
      <c r="M287" s="279"/>
      <c r="N287"/>
    </row>
    <row r="288" spans="1:14" x14ac:dyDescent="0.25">
      <c r="A288" s="279">
        <v>279</v>
      </c>
      <c r="B288" s="390">
        <v>44109</v>
      </c>
      <c r="C288"/>
      <c r="D288"/>
      <c r="E288"/>
      <c r="F288"/>
      <c r="G288"/>
      <c r="H288"/>
      <c r="I288"/>
      <c r="J288"/>
      <c r="K288" s="279"/>
      <c r="L288" s="279"/>
      <c r="M288" s="279"/>
      <c r="N288"/>
    </row>
    <row r="289" spans="1:14" x14ac:dyDescent="0.25">
      <c r="A289" s="279">
        <v>280</v>
      </c>
      <c r="B289" s="390">
        <v>44110</v>
      </c>
      <c r="C289"/>
      <c r="D289"/>
      <c r="E289"/>
      <c r="F289"/>
      <c r="G289"/>
      <c r="H289"/>
      <c r="I289"/>
      <c r="J289"/>
      <c r="K289" s="279"/>
      <c r="L289" s="279"/>
      <c r="M289" s="279"/>
      <c r="N289"/>
    </row>
    <row r="290" spans="1:14" x14ac:dyDescent="0.25">
      <c r="A290" s="279">
        <v>281</v>
      </c>
      <c r="B290" s="390">
        <v>44111</v>
      </c>
      <c r="C290"/>
      <c r="D290"/>
      <c r="E290"/>
      <c r="F290"/>
      <c r="G290"/>
      <c r="H290"/>
      <c r="I290"/>
      <c r="J290"/>
      <c r="K290" s="279"/>
      <c r="L290" s="279"/>
      <c r="M290" s="279"/>
      <c r="N290"/>
    </row>
    <row r="291" spans="1:14" x14ac:dyDescent="0.25">
      <c r="A291" s="279">
        <v>282</v>
      </c>
      <c r="B291" s="390">
        <v>44112</v>
      </c>
      <c r="C291"/>
      <c r="D291"/>
      <c r="E291"/>
      <c r="F291"/>
      <c r="G291"/>
      <c r="H291"/>
      <c r="I291"/>
      <c r="J291"/>
      <c r="K291" s="279"/>
      <c r="L291" s="279"/>
      <c r="M291" s="279"/>
      <c r="N291"/>
    </row>
    <row r="292" spans="1:14" x14ac:dyDescent="0.25">
      <c r="A292" s="279">
        <v>283</v>
      </c>
      <c r="B292" s="390">
        <v>44113</v>
      </c>
      <c r="C292"/>
      <c r="D292"/>
      <c r="E292"/>
      <c r="F292"/>
      <c r="G292"/>
      <c r="H292"/>
      <c r="I292"/>
      <c r="J292"/>
      <c r="K292" s="279"/>
      <c r="L292" s="279"/>
      <c r="M292" s="279"/>
      <c r="N292"/>
    </row>
    <row r="293" spans="1:14" x14ac:dyDescent="0.25">
      <c r="A293" s="279">
        <v>284</v>
      </c>
      <c r="B293" s="391">
        <v>44114</v>
      </c>
      <c r="C293"/>
      <c r="D293"/>
      <c r="E293"/>
      <c r="F293"/>
      <c r="G293"/>
      <c r="H293"/>
      <c r="I293"/>
      <c r="J293"/>
      <c r="K293" s="279"/>
      <c r="L293" s="279"/>
      <c r="M293" s="279"/>
      <c r="N293"/>
    </row>
    <row r="294" spans="1:14" x14ac:dyDescent="0.25">
      <c r="A294" s="279">
        <v>285</v>
      </c>
      <c r="B294" s="391">
        <v>44115</v>
      </c>
      <c r="C294"/>
      <c r="D294"/>
      <c r="E294"/>
      <c r="F294"/>
      <c r="G294"/>
      <c r="H294"/>
      <c r="I294"/>
      <c r="J294"/>
      <c r="K294" s="279"/>
      <c r="L294" s="279"/>
      <c r="M294" s="279"/>
      <c r="N294"/>
    </row>
    <row r="295" spans="1:14" x14ac:dyDescent="0.25">
      <c r="A295" s="279">
        <v>286</v>
      </c>
      <c r="B295" s="390">
        <v>44116</v>
      </c>
      <c r="C295"/>
      <c r="D295"/>
      <c r="E295"/>
      <c r="F295"/>
      <c r="G295"/>
      <c r="H295"/>
      <c r="I295"/>
      <c r="J295"/>
      <c r="K295" s="279"/>
      <c r="L295" s="279"/>
      <c r="M295" s="279"/>
      <c r="N295"/>
    </row>
    <row r="296" spans="1:14" x14ac:dyDescent="0.25">
      <c r="A296" s="279">
        <v>287</v>
      </c>
      <c r="B296" s="390">
        <v>44117</v>
      </c>
      <c r="C296"/>
      <c r="D296"/>
      <c r="E296"/>
      <c r="F296"/>
      <c r="G296"/>
      <c r="H296"/>
      <c r="I296"/>
      <c r="J296"/>
      <c r="K296" s="279"/>
      <c r="L296" s="279"/>
      <c r="M296" s="279"/>
      <c r="N296"/>
    </row>
    <row r="297" spans="1:14" x14ac:dyDescent="0.25">
      <c r="A297" s="279">
        <v>288</v>
      </c>
      <c r="B297" s="390">
        <v>44118</v>
      </c>
      <c r="C297"/>
      <c r="D297"/>
      <c r="E297"/>
      <c r="F297"/>
      <c r="G297"/>
      <c r="H297"/>
      <c r="I297"/>
      <c r="J297"/>
      <c r="K297" s="279"/>
      <c r="L297" s="279"/>
      <c r="M297" s="279"/>
      <c r="N297"/>
    </row>
    <row r="298" spans="1:14" x14ac:dyDescent="0.25">
      <c r="A298" s="279">
        <v>289</v>
      </c>
      <c r="B298" s="390">
        <v>44119</v>
      </c>
      <c r="C298"/>
      <c r="D298"/>
      <c r="E298"/>
      <c r="F298"/>
      <c r="G298"/>
      <c r="H298"/>
      <c r="I298"/>
      <c r="J298"/>
      <c r="K298" s="279"/>
      <c r="L298" s="279"/>
      <c r="M298" s="279"/>
      <c r="N298"/>
    </row>
    <row r="299" spans="1:14" x14ac:dyDescent="0.25">
      <c r="A299" s="279">
        <v>290</v>
      </c>
      <c r="B299" s="390">
        <v>44120</v>
      </c>
      <c r="C299"/>
      <c r="D299"/>
      <c r="E299"/>
      <c r="F299"/>
      <c r="G299"/>
      <c r="H299"/>
      <c r="I299"/>
      <c r="J299"/>
      <c r="K299" s="279"/>
      <c r="L299" s="279"/>
      <c r="M299" s="279"/>
      <c r="N299"/>
    </row>
    <row r="300" spans="1:14" x14ac:dyDescent="0.25">
      <c r="A300" s="279">
        <v>291</v>
      </c>
      <c r="B300" s="391">
        <v>44121</v>
      </c>
      <c r="C300"/>
      <c r="D300"/>
      <c r="E300"/>
      <c r="F300"/>
      <c r="G300"/>
      <c r="H300"/>
      <c r="I300"/>
      <c r="J300"/>
      <c r="K300" s="279"/>
      <c r="L300" s="279"/>
      <c r="M300" s="279"/>
      <c r="N300"/>
    </row>
    <row r="301" spans="1:14" x14ac:dyDescent="0.25">
      <c r="A301" s="279">
        <v>292</v>
      </c>
      <c r="B301" s="391">
        <v>44122</v>
      </c>
      <c r="C301"/>
      <c r="D301"/>
      <c r="E301"/>
      <c r="F301"/>
      <c r="G301"/>
      <c r="H301"/>
      <c r="I301"/>
      <c r="J301"/>
      <c r="K301" s="279"/>
      <c r="L301" s="279"/>
      <c r="M301" s="279"/>
      <c r="N301"/>
    </row>
    <row r="302" spans="1:14" x14ac:dyDescent="0.25">
      <c r="A302" s="279">
        <v>293</v>
      </c>
      <c r="B302" s="390">
        <v>44123</v>
      </c>
      <c r="C302"/>
      <c r="D302"/>
      <c r="E302"/>
      <c r="F302"/>
      <c r="G302"/>
      <c r="H302"/>
      <c r="I302"/>
      <c r="J302"/>
      <c r="K302" s="279"/>
      <c r="L302" s="279"/>
      <c r="M302" s="279"/>
      <c r="N302"/>
    </row>
    <row r="303" spans="1:14" x14ac:dyDescent="0.25">
      <c r="A303" s="279">
        <v>294</v>
      </c>
      <c r="B303" s="390">
        <v>44124</v>
      </c>
      <c r="C303"/>
      <c r="D303"/>
      <c r="E303"/>
      <c r="F303"/>
      <c r="G303"/>
      <c r="H303"/>
      <c r="I303"/>
      <c r="J303"/>
      <c r="K303" s="279"/>
      <c r="L303" s="279"/>
      <c r="M303" s="279"/>
      <c r="N303"/>
    </row>
    <row r="304" spans="1:14" x14ac:dyDescent="0.25">
      <c r="A304" s="279">
        <v>295</v>
      </c>
      <c r="B304" s="390">
        <v>44125</v>
      </c>
      <c r="C304"/>
      <c r="D304"/>
      <c r="E304"/>
      <c r="F304"/>
      <c r="G304"/>
      <c r="H304"/>
      <c r="I304"/>
      <c r="J304"/>
      <c r="K304" s="279"/>
      <c r="L304" s="279"/>
      <c r="M304" s="279"/>
      <c r="N304"/>
    </row>
    <row r="305" spans="1:14" x14ac:dyDescent="0.25">
      <c r="A305" s="279">
        <v>296</v>
      </c>
      <c r="B305" s="390">
        <v>44126</v>
      </c>
      <c r="C305"/>
      <c r="D305"/>
      <c r="E305"/>
      <c r="F305"/>
      <c r="G305"/>
      <c r="H305"/>
      <c r="I305"/>
      <c r="J305"/>
      <c r="K305" s="279"/>
      <c r="L305" s="279"/>
      <c r="M305" s="279"/>
      <c r="N305"/>
    </row>
    <row r="306" spans="1:14" x14ac:dyDescent="0.25">
      <c r="A306" s="279">
        <v>297</v>
      </c>
      <c r="B306" s="390">
        <v>44127</v>
      </c>
      <c r="C306"/>
      <c r="D306"/>
      <c r="E306"/>
      <c r="F306"/>
      <c r="G306"/>
      <c r="H306"/>
      <c r="I306"/>
      <c r="J306"/>
      <c r="K306" s="279"/>
      <c r="L306" s="279"/>
      <c r="M306" s="279"/>
      <c r="N306"/>
    </row>
    <row r="307" spans="1:14" x14ac:dyDescent="0.25">
      <c r="A307" s="279">
        <v>298</v>
      </c>
      <c r="B307" s="391">
        <v>44128</v>
      </c>
      <c r="C307"/>
      <c r="D307"/>
      <c r="E307"/>
      <c r="F307"/>
      <c r="G307"/>
      <c r="H307"/>
      <c r="I307"/>
      <c r="J307"/>
      <c r="K307" s="279"/>
      <c r="L307" s="279"/>
      <c r="M307" s="279"/>
      <c r="N307"/>
    </row>
    <row r="308" spans="1:14" x14ac:dyDescent="0.25">
      <c r="A308" s="279">
        <v>299</v>
      </c>
      <c r="B308" s="391">
        <v>44129</v>
      </c>
      <c r="C308"/>
      <c r="D308"/>
      <c r="E308"/>
      <c r="F308"/>
      <c r="G308"/>
      <c r="H308"/>
      <c r="I308"/>
      <c r="J308"/>
      <c r="K308" s="279"/>
      <c r="L308" s="279"/>
      <c r="M308" s="279"/>
      <c r="N308"/>
    </row>
    <row r="309" spans="1:14" x14ac:dyDescent="0.25">
      <c r="A309" s="279">
        <v>300</v>
      </c>
      <c r="B309" s="390">
        <v>44130</v>
      </c>
      <c r="C309"/>
      <c r="D309"/>
      <c r="E309"/>
      <c r="F309"/>
      <c r="G309"/>
      <c r="H309"/>
      <c r="I309"/>
      <c r="J309"/>
      <c r="K309" s="279"/>
      <c r="L309" s="279"/>
      <c r="M309" s="279"/>
      <c r="N309"/>
    </row>
    <row r="310" spans="1:14" x14ac:dyDescent="0.25">
      <c r="A310" s="279">
        <v>301</v>
      </c>
      <c r="B310" s="390">
        <v>44131</v>
      </c>
      <c r="C310"/>
      <c r="D310"/>
      <c r="E310"/>
      <c r="F310"/>
      <c r="G310"/>
      <c r="H310"/>
      <c r="I310"/>
      <c r="J310"/>
      <c r="K310" s="279"/>
      <c r="L310" s="279"/>
      <c r="M310" s="279"/>
      <c r="N310"/>
    </row>
    <row r="311" spans="1:14" x14ac:dyDescent="0.25">
      <c r="A311" s="279">
        <v>302</v>
      </c>
      <c r="B311" s="392">
        <v>44132</v>
      </c>
      <c r="C311"/>
      <c r="D311"/>
      <c r="E311"/>
      <c r="F311"/>
      <c r="G311"/>
      <c r="H311"/>
      <c r="I311"/>
      <c r="J311"/>
      <c r="K311" s="279"/>
      <c r="L311" s="279"/>
      <c r="M311" s="279"/>
      <c r="N311"/>
    </row>
    <row r="312" spans="1:14" x14ac:dyDescent="0.25">
      <c r="A312" s="279">
        <v>303</v>
      </c>
      <c r="B312" s="390">
        <v>44133</v>
      </c>
      <c r="C312"/>
      <c r="D312"/>
      <c r="E312"/>
      <c r="F312"/>
      <c r="G312"/>
      <c r="H312"/>
      <c r="I312"/>
      <c r="J312"/>
      <c r="K312" s="279"/>
      <c r="L312" s="279"/>
      <c r="M312" s="279"/>
      <c r="N312"/>
    </row>
    <row r="313" spans="1:14" x14ac:dyDescent="0.25">
      <c r="A313" s="279">
        <v>304</v>
      </c>
      <c r="B313" s="390">
        <v>44134</v>
      </c>
      <c r="C313"/>
      <c r="D313"/>
      <c r="E313"/>
      <c r="F313"/>
      <c r="G313"/>
      <c r="H313"/>
      <c r="I313"/>
      <c r="J313"/>
      <c r="K313" s="279"/>
      <c r="L313" s="279"/>
      <c r="M313" s="279"/>
      <c r="N313"/>
    </row>
    <row r="314" spans="1:14" x14ac:dyDescent="0.25">
      <c r="A314" s="279">
        <v>305</v>
      </c>
      <c r="B314" s="391">
        <v>44135</v>
      </c>
      <c r="C314"/>
      <c r="D314"/>
      <c r="E314"/>
      <c r="F314"/>
      <c r="G314"/>
      <c r="H314"/>
      <c r="I314"/>
      <c r="J314"/>
      <c r="K314" s="279"/>
      <c r="L314" s="279"/>
      <c r="M314" s="279"/>
      <c r="N314"/>
    </row>
    <row r="315" spans="1:14" x14ac:dyDescent="0.25">
      <c r="A315" s="279">
        <v>306</v>
      </c>
      <c r="B315" s="391">
        <v>44136</v>
      </c>
      <c r="C315"/>
      <c r="D315"/>
      <c r="E315"/>
      <c r="F315"/>
      <c r="G315"/>
      <c r="H315"/>
      <c r="I315"/>
      <c r="J315"/>
      <c r="K315" s="279"/>
      <c r="L315" s="279"/>
      <c r="M315" s="279"/>
      <c r="N315"/>
    </row>
    <row r="316" spans="1:14" x14ac:dyDescent="0.25">
      <c r="A316" s="279">
        <v>307</v>
      </c>
      <c r="B316" s="390">
        <v>44137</v>
      </c>
      <c r="C316"/>
      <c r="D316"/>
      <c r="E316"/>
      <c r="F316"/>
      <c r="G316"/>
      <c r="H316"/>
      <c r="I316"/>
      <c r="J316"/>
      <c r="K316" s="279"/>
      <c r="L316" s="279"/>
      <c r="M316" s="279"/>
      <c r="N316"/>
    </row>
    <row r="317" spans="1:14" x14ac:dyDescent="0.25">
      <c r="A317" s="279">
        <v>308</v>
      </c>
      <c r="B317" s="390">
        <v>44138</v>
      </c>
      <c r="C317"/>
      <c r="D317"/>
      <c r="E317"/>
      <c r="F317"/>
      <c r="G317"/>
      <c r="H317"/>
      <c r="I317"/>
      <c r="J317"/>
      <c r="K317" s="279"/>
      <c r="L317" s="279"/>
      <c r="M317" s="279"/>
      <c r="N317"/>
    </row>
    <row r="318" spans="1:14" x14ac:dyDescent="0.25">
      <c r="A318" s="279">
        <v>309</v>
      </c>
      <c r="B318" s="390">
        <v>44139</v>
      </c>
      <c r="C318"/>
      <c r="D318"/>
      <c r="E318"/>
      <c r="F318"/>
      <c r="G318"/>
      <c r="H318"/>
      <c r="I318"/>
      <c r="J318"/>
      <c r="K318" s="279"/>
      <c r="L318" s="279"/>
      <c r="M318" s="279"/>
      <c r="N318"/>
    </row>
    <row r="319" spans="1:14" x14ac:dyDescent="0.25">
      <c r="A319" s="279">
        <v>310</v>
      </c>
      <c r="B319" s="390">
        <v>44140</v>
      </c>
      <c r="C319"/>
      <c r="D319"/>
      <c r="E319"/>
      <c r="F319"/>
      <c r="G319"/>
      <c r="H319"/>
      <c r="I319"/>
      <c r="J319"/>
      <c r="K319" s="279"/>
      <c r="L319" s="279"/>
      <c r="M319" s="279"/>
      <c r="N319"/>
    </row>
    <row r="320" spans="1:14" x14ac:dyDescent="0.25">
      <c r="A320" s="279">
        <v>311</v>
      </c>
      <c r="B320" s="390">
        <v>44141</v>
      </c>
      <c r="C320"/>
      <c r="D320"/>
      <c r="E320"/>
      <c r="F320"/>
      <c r="G320"/>
      <c r="H320"/>
      <c r="I320"/>
      <c r="J320"/>
      <c r="K320" s="279"/>
      <c r="L320" s="279"/>
      <c r="M320" s="279"/>
      <c r="N320"/>
    </row>
    <row r="321" spans="1:14" x14ac:dyDescent="0.25">
      <c r="A321" s="279">
        <v>312</v>
      </c>
      <c r="B321" s="391">
        <v>44142</v>
      </c>
      <c r="C321"/>
      <c r="D321"/>
      <c r="E321"/>
      <c r="F321"/>
      <c r="G321"/>
      <c r="H321"/>
      <c r="I321"/>
      <c r="J321"/>
      <c r="K321" s="279"/>
      <c r="L321" s="279"/>
      <c r="M321" s="279"/>
      <c r="N321"/>
    </row>
    <row r="322" spans="1:14" x14ac:dyDescent="0.25">
      <c r="A322" s="279">
        <v>313</v>
      </c>
      <c r="B322" s="391">
        <v>44143</v>
      </c>
      <c r="C322"/>
      <c r="D322"/>
      <c r="E322"/>
      <c r="F322"/>
      <c r="G322"/>
      <c r="H322"/>
      <c r="I322"/>
      <c r="J322"/>
      <c r="K322" s="279"/>
      <c r="L322" s="279"/>
      <c r="M322" s="279"/>
      <c r="N322"/>
    </row>
    <row r="323" spans="1:14" x14ac:dyDescent="0.25">
      <c r="A323" s="279">
        <v>314</v>
      </c>
      <c r="B323" s="390">
        <v>44144</v>
      </c>
      <c r="C323"/>
      <c r="D323"/>
      <c r="E323"/>
      <c r="F323"/>
      <c r="G323"/>
      <c r="H323"/>
      <c r="I323"/>
      <c r="J323"/>
      <c r="K323" s="279"/>
      <c r="L323" s="279"/>
      <c r="M323" s="279"/>
      <c r="N323"/>
    </row>
    <row r="324" spans="1:14" x14ac:dyDescent="0.25">
      <c r="A324" s="279">
        <v>315</v>
      </c>
      <c r="B324" s="390">
        <v>44145</v>
      </c>
      <c r="C324"/>
      <c r="D324"/>
      <c r="E324"/>
      <c r="F324"/>
      <c r="G324"/>
      <c r="H324"/>
      <c r="I324"/>
      <c r="J324"/>
      <c r="K324" s="279"/>
      <c r="L324" s="279"/>
      <c r="M324" s="279"/>
      <c r="N324"/>
    </row>
    <row r="325" spans="1:14" x14ac:dyDescent="0.25">
      <c r="A325" s="279">
        <v>316</v>
      </c>
      <c r="B325" s="390">
        <v>44146</v>
      </c>
      <c r="C325"/>
      <c r="D325"/>
      <c r="E325"/>
      <c r="F325"/>
      <c r="G325"/>
      <c r="H325"/>
      <c r="I325"/>
      <c r="J325"/>
      <c r="K325" s="279"/>
      <c r="L325" s="279"/>
      <c r="M325" s="279"/>
      <c r="N325"/>
    </row>
    <row r="326" spans="1:14" x14ac:dyDescent="0.25">
      <c r="A326" s="279">
        <v>317</v>
      </c>
      <c r="B326" s="390">
        <v>44147</v>
      </c>
      <c r="C326"/>
      <c r="D326"/>
      <c r="E326"/>
      <c r="F326"/>
      <c r="G326"/>
      <c r="H326"/>
      <c r="I326"/>
      <c r="J326"/>
      <c r="K326" s="279"/>
      <c r="L326" s="279"/>
      <c r="M326" s="279"/>
      <c r="N326"/>
    </row>
    <row r="327" spans="1:14" x14ac:dyDescent="0.25">
      <c r="A327" s="279">
        <v>318</v>
      </c>
      <c r="B327" s="390">
        <v>44148</v>
      </c>
      <c r="C327"/>
      <c r="D327"/>
      <c r="E327"/>
      <c r="F327"/>
      <c r="G327"/>
      <c r="H327"/>
      <c r="I327"/>
      <c r="J327"/>
      <c r="K327" s="279"/>
      <c r="L327" s="279"/>
      <c r="M327" s="279"/>
      <c r="N327"/>
    </row>
    <row r="328" spans="1:14" x14ac:dyDescent="0.25">
      <c r="A328" s="279">
        <v>319</v>
      </c>
      <c r="B328" s="391">
        <v>44149</v>
      </c>
      <c r="C328"/>
      <c r="D328"/>
      <c r="E328"/>
      <c r="F328"/>
      <c r="G328"/>
      <c r="H328"/>
      <c r="I328"/>
      <c r="J328"/>
      <c r="K328" s="279"/>
      <c r="L328" s="279"/>
      <c r="M328" s="279"/>
      <c r="N328"/>
    </row>
    <row r="329" spans="1:14" x14ac:dyDescent="0.25">
      <c r="A329" s="279">
        <v>320</v>
      </c>
      <c r="B329" s="391">
        <v>44150</v>
      </c>
      <c r="C329"/>
      <c r="D329"/>
      <c r="E329"/>
      <c r="F329"/>
      <c r="G329"/>
      <c r="H329"/>
      <c r="I329"/>
      <c r="J329"/>
      <c r="K329" s="279"/>
      <c r="L329" s="279"/>
      <c r="M329" s="279"/>
      <c r="N329"/>
    </row>
    <row r="330" spans="1:14" x14ac:dyDescent="0.25">
      <c r="A330" s="279">
        <v>321</v>
      </c>
      <c r="B330" s="390">
        <v>44151</v>
      </c>
      <c r="C330"/>
      <c r="D330"/>
      <c r="E330"/>
      <c r="F330"/>
      <c r="G330"/>
      <c r="H330"/>
      <c r="I330"/>
      <c r="J330"/>
      <c r="K330" s="279"/>
      <c r="L330" s="279"/>
      <c r="M330" s="279"/>
      <c r="N330"/>
    </row>
    <row r="331" spans="1:14" x14ac:dyDescent="0.25">
      <c r="A331" s="279">
        <v>322</v>
      </c>
      <c r="B331" s="392">
        <v>44152</v>
      </c>
      <c r="C331"/>
      <c r="D331"/>
      <c r="E331"/>
      <c r="F331"/>
      <c r="G331"/>
      <c r="H331"/>
      <c r="I331"/>
      <c r="J331"/>
      <c r="K331" s="279"/>
      <c r="L331" s="279"/>
      <c r="M331" s="279"/>
      <c r="N331"/>
    </row>
    <row r="332" spans="1:14" x14ac:dyDescent="0.25">
      <c r="A332" s="279">
        <v>323</v>
      </c>
      <c r="B332" s="390">
        <v>44153</v>
      </c>
      <c r="C332"/>
      <c r="D332"/>
      <c r="E332"/>
      <c r="F332"/>
      <c r="G332"/>
      <c r="H332"/>
      <c r="I332"/>
      <c r="J332"/>
      <c r="K332" s="279"/>
      <c r="L332" s="279"/>
      <c r="M332" s="279"/>
      <c r="N332"/>
    </row>
    <row r="333" spans="1:14" x14ac:dyDescent="0.25">
      <c r="A333" s="279">
        <v>324</v>
      </c>
      <c r="B333" s="390">
        <v>44154</v>
      </c>
      <c r="C333"/>
      <c r="D333"/>
      <c r="E333"/>
      <c r="F333"/>
      <c r="G333"/>
      <c r="H333"/>
      <c r="I333"/>
      <c r="J333"/>
      <c r="K333" s="279"/>
      <c r="L333" s="279"/>
      <c r="M333" s="279"/>
      <c r="N333"/>
    </row>
    <row r="334" spans="1:14" x14ac:dyDescent="0.25">
      <c r="A334" s="279">
        <v>325</v>
      </c>
      <c r="B334" s="390">
        <v>44155</v>
      </c>
      <c r="C334"/>
      <c r="D334"/>
      <c r="E334"/>
      <c r="F334"/>
      <c r="G334"/>
      <c r="H334"/>
      <c r="I334"/>
      <c r="J334"/>
      <c r="K334" s="279"/>
      <c r="L334" s="279"/>
      <c r="M334" s="279"/>
      <c r="N334"/>
    </row>
    <row r="335" spans="1:14" x14ac:dyDescent="0.25">
      <c r="A335" s="279">
        <v>326</v>
      </c>
      <c r="B335" s="391">
        <v>44156</v>
      </c>
      <c r="C335"/>
      <c r="D335"/>
      <c r="E335"/>
      <c r="F335"/>
      <c r="G335"/>
      <c r="H335"/>
      <c r="I335"/>
      <c r="J335"/>
      <c r="K335" s="279"/>
      <c r="L335" s="279"/>
      <c r="M335" s="279"/>
      <c r="N335"/>
    </row>
    <row r="336" spans="1:14" x14ac:dyDescent="0.25">
      <c r="A336" s="279">
        <v>327</v>
      </c>
      <c r="B336" s="391">
        <v>44157</v>
      </c>
      <c r="C336"/>
      <c r="D336"/>
      <c r="E336"/>
      <c r="F336"/>
      <c r="G336"/>
      <c r="H336"/>
      <c r="I336"/>
      <c r="J336"/>
      <c r="K336" s="279"/>
      <c r="L336" s="279"/>
      <c r="M336" s="279"/>
      <c r="N336"/>
    </row>
    <row r="337" spans="1:14" x14ac:dyDescent="0.25">
      <c r="A337" s="279">
        <v>328</v>
      </c>
      <c r="B337" s="390">
        <v>44158</v>
      </c>
      <c r="C337"/>
      <c r="D337"/>
      <c r="E337"/>
      <c r="F337"/>
      <c r="G337"/>
      <c r="H337"/>
      <c r="I337"/>
      <c r="J337"/>
      <c r="K337" s="279"/>
      <c r="L337" s="279"/>
      <c r="M337" s="279"/>
      <c r="N337"/>
    </row>
    <row r="338" spans="1:14" x14ac:dyDescent="0.25">
      <c r="A338" s="279">
        <v>329</v>
      </c>
      <c r="B338" s="390">
        <v>44159</v>
      </c>
      <c r="C338"/>
      <c r="D338"/>
      <c r="E338"/>
      <c r="F338"/>
      <c r="G338"/>
      <c r="H338"/>
      <c r="I338"/>
      <c r="J338"/>
      <c r="K338" s="279"/>
      <c r="L338" s="279"/>
      <c r="M338" s="279"/>
      <c r="N338"/>
    </row>
    <row r="339" spans="1:14" x14ac:dyDescent="0.25">
      <c r="A339" s="279">
        <v>330</v>
      </c>
      <c r="B339" s="390">
        <v>44160</v>
      </c>
      <c r="C339"/>
      <c r="D339"/>
      <c r="E339"/>
      <c r="F339"/>
      <c r="G339"/>
      <c r="H339"/>
      <c r="I339"/>
      <c r="J339"/>
      <c r="K339" s="279"/>
      <c r="L339" s="279"/>
      <c r="M339" s="279"/>
      <c r="N339"/>
    </row>
    <row r="340" spans="1:14" x14ac:dyDescent="0.25">
      <c r="A340" s="279">
        <v>331</v>
      </c>
      <c r="B340" s="390">
        <v>44161</v>
      </c>
      <c r="C340"/>
      <c r="D340"/>
      <c r="E340"/>
      <c r="F340"/>
      <c r="G340"/>
      <c r="H340"/>
      <c r="I340"/>
      <c r="J340"/>
      <c r="K340" s="279"/>
      <c r="L340" s="279"/>
      <c r="M340" s="279"/>
      <c r="N340"/>
    </row>
    <row r="341" spans="1:14" x14ac:dyDescent="0.25">
      <c r="A341" s="279">
        <v>332</v>
      </c>
      <c r="B341" s="390">
        <v>44162</v>
      </c>
      <c r="C341"/>
      <c r="D341"/>
      <c r="E341"/>
      <c r="F341"/>
      <c r="G341"/>
      <c r="H341"/>
      <c r="I341"/>
      <c r="J341"/>
      <c r="K341" s="279"/>
      <c r="L341" s="279"/>
      <c r="M341" s="279"/>
      <c r="N341"/>
    </row>
    <row r="342" spans="1:14" x14ac:dyDescent="0.25">
      <c r="A342" s="279">
        <v>333</v>
      </c>
      <c r="B342" s="391">
        <v>44163</v>
      </c>
      <c r="C342"/>
      <c r="D342"/>
      <c r="E342"/>
      <c r="F342"/>
      <c r="G342"/>
      <c r="H342"/>
      <c r="I342"/>
      <c r="J342"/>
      <c r="K342" s="279"/>
      <c r="L342" s="279"/>
      <c r="M342" s="279"/>
      <c r="N342"/>
    </row>
    <row r="343" spans="1:14" x14ac:dyDescent="0.25">
      <c r="A343" s="279">
        <v>334</v>
      </c>
      <c r="B343" s="391">
        <v>44164</v>
      </c>
      <c r="C343"/>
      <c r="D343"/>
      <c r="E343"/>
      <c r="F343"/>
      <c r="G343"/>
      <c r="H343"/>
      <c r="I343"/>
      <c r="J343"/>
      <c r="K343" s="279"/>
      <c r="L343" s="279"/>
      <c r="M343" s="279"/>
      <c r="N343"/>
    </row>
    <row r="344" spans="1:14" x14ac:dyDescent="0.25">
      <c r="A344" s="279">
        <v>335</v>
      </c>
      <c r="B344" s="390">
        <v>44165</v>
      </c>
      <c r="C344"/>
      <c r="D344"/>
      <c r="E344"/>
      <c r="F344"/>
      <c r="G344"/>
      <c r="H344"/>
      <c r="I344"/>
      <c r="J344"/>
      <c r="K344" s="279"/>
      <c r="L344" s="279"/>
      <c r="M344" s="279"/>
      <c r="N344"/>
    </row>
    <row r="345" spans="1:14" x14ac:dyDescent="0.25">
      <c r="A345" s="279">
        <v>336</v>
      </c>
      <c r="B345" s="390">
        <v>44166</v>
      </c>
      <c r="C345"/>
      <c r="D345"/>
      <c r="E345"/>
      <c r="F345"/>
      <c r="G345"/>
      <c r="H345"/>
      <c r="I345"/>
      <c r="J345"/>
      <c r="K345" s="279"/>
      <c r="L345" s="279"/>
      <c r="M345" s="279"/>
      <c r="N345"/>
    </row>
    <row r="346" spans="1:14" x14ac:dyDescent="0.25">
      <c r="A346" s="279">
        <v>337</v>
      </c>
      <c r="B346" s="390">
        <v>44167</v>
      </c>
      <c r="C346"/>
      <c r="D346"/>
      <c r="E346"/>
      <c r="F346"/>
      <c r="G346"/>
      <c r="H346"/>
      <c r="I346"/>
      <c r="J346"/>
      <c r="K346" s="279"/>
      <c r="L346" s="279"/>
      <c r="M346" s="279"/>
      <c r="N346"/>
    </row>
    <row r="347" spans="1:14" x14ac:dyDescent="0.25">
      <c r="A347" s="279">
        <v>338</v>
      </c>
      <c r="B347" s="390">
        <v>44168</v>
      </c>
      <c r="C347"/>
      <c r="D347"/>
      <c r="E347"/>
      <c r="F347"/>
      <c r="G347"/>
      <c r="H347"/>
      <c r="I347"/>
      <c r="J347"/>
      <c r="K347" s="279"/>
      <c r="L347" s="279"/>
      <c r="M347" s="279"/>
      <c r="N347"/>
    </row>
    <row r="348" spans="1:14" x14ac:dyDescent="0.25">
      <c r="A348" s="279">
        <v>339</v>
      </c>
      <c r="B348" s="390">
        <v>44169</v>
      </c>
      <c r="C348"/>
      <c r="D348"/>
      <c r="E348"/>
      <c r="F348"/>
      <c r="G348"/>
      <c r="H348"/>
      <c r="I348"/>
      <c r="J348"/>
      <c r="K348" s="279"/>
      <c r="L348" s="279"/>
      <c r="M348" s="279"/>
      <c r="N348"/>
    </row>
    <row r="349" spans="1:14" x14ac:dyDescent="0.25">
      <c r="A349" s="279">
        <v>340</v>
      </c>
      <c r="B349" s="391">
        <v>44170</v>
      </c>
      <c r="C349"/>
      <c r="D349"/>
      <c r="E349"/>
      <c r="F349"/>
      <c r="G349"/>
      <c r="H349"/>
      <c r="I349"/>
      <c r="J349"/>
      <c r="K349" s="279"/>
      <c r="L349" s="279"/>
      <c r="M349" s="279"/>
      <c r="N349"/>
    </row>
    <row r="350" spans="1:14" x14ac:dyDescent="0.25">
      <c r="A350" s="279">
        <v>341</v>
      </c>
      <c r="B350" s="391">
        <v>44171</v>
      </c>
      <c r="C350"/>
      <c r="D350"/>
      <c r="E350"/>
      <c r="F350"/>
      <c r="G350"/>
      <c r="H350"/>
      <c r="I350"/>
      <c r="J350"/>
      <c r="K350" s="279"/>
      <c r="L350" s="279"/>
      <c r="M350" s="279"/>
      <c r="N350"/>
    </row>
    <row r="351" spans="1:14" x14ac:dyDescent="0.25">
      <c r="A351" s="279">
        <v>342</v>
      </c>
      <c r="B351" s="390">
        <v>44172</v>
      </c>
      <c r="C351"/>
      <c r="D351"/>
      <c r="E351"/>
      <c r="F351"/>
      <c r="G351"/>
      <c r="H351"/>
      <c r="I351"/>
      <c r="J351"/>
      <c r="K351" s="279"/>
      <c r="L351" s="279"/>
      <c r="M351" s="279"/>
      <c r="N351"/>
    </row>
    <row r="352" spans="1:14" x14ac:dyDescent="0.25">
      <c r="A352" s="279">
        <v>343</v>
      </c>
      <c r="B352" s="390">
        <v>44173</v>
      </c>
      <c r="C352"/>
      <c r="D352"/>
      <c r="E352"/>
      <c r="F352"/>
      <c r="G352"/>
      <c r="H352"/>
      <c r="I352"/>
      <c r="J352"/>
      <c r="K352" s="279"/>
      <c r="L352" s="279"/>
      <c r="M352" s="279"/>
      <c r="N352"/>
    </row>
    <row r="353" spans="1:14" x14ac:dyDescent="0.25">
      <c r="A353" s="279">
        <v>344</v>
      </c>
      <c r="B353" s="390">
        <v>44174</v>
      </c>
      <c r="C353"/>
      <c r="D353"/>
      <c r="E353"/>
      <c r="F353"/>
      <c r="G353"/>
      <c r="H353"/>
      <c r="I353"/>
      <c r="J353"/>
      <c r="K353" s="279"/>
      <c r="L353" s="279"/>
      <c r="M353" s="279"/>
      <c r="N353"/>
    </row>
    <row r="354" spans="1:14" x14ac:dyDescent="0.25">
      <c r="A354" s="279">
        <v>345</v>
      </c>
      <c r="B354" s="390">
        <v>44175</v>
      </c>
      <c r="C354"/>
      <c r="D354"/>
      <c r="E354"/>
      <c r="F354"/>
      <c r="G354"/>
      <c r="H354"/>
      <c r="I354"/>
      <c r="J354"/>
      <c r="K354" s="279"/>
      <c r="L354" s="279"/>
      <c r="M354" s="279"/>
      <c r="N354"/>
    </row>
    <row r="355" spans="1:14" x14ac:dyDescent="0.25">
      <c r="A355" s="279">
        <v>346</v>
      </c>
      <c r="B355" s="390">
        <v>44176</v>
      </c>
      <c r="C355"/>
      <c r="D355"/>
      <c r="E355"/>
      <c r="F355"/>
      <c r="G355"/>
      <c r="H355"/>
      <c r="I355"/>
      <c r="J355"/>
      <c r="K355" s="279"/>
      <c r="L355" s="279"/>
      <c r="M355" s="279"/>
      <c r="N355"/>
    </row>
    <row r="356" spans="1:14" x14ac:dyDescent="0.25">
      <c r="A356" s="279">
        <v>347</v>
      </c>
      <c r="B356" s="391">
        <v>44177</v>
      </c>
      <c r="C356"/>
      <c r="D356"/>
      <c r="E356"/>
      <c r="F356"/>
      <c r="G356"/>
      <c r="H356"/>
      <c r="I356"/>
      <c r="J356"/>
      <c r="K356" s="279"/>
      <c r="L356" s="279"/>
      <c r="M356" s="279"/>
      <c r="N356"/>
    </row>
    <row r="357" spans="1:14" x14ac:dyDescent="0.25">
      <c r="A357" s="279">
        <v>348</v>
      </c>
      <c r="B357" s="391">
        <v>44178</v>
      </c>
      <c r="C357"/>
      <c r="D357"/>
      <c r="E357"/>
      <c r="F357"/>
      <c r="G357"/>
      <c r="H357"/>
      <c r="I357"/>
      <c r="J357"/>
      <c r="K357" s="279"/>
      <c r="L357" s="279"/>
      <c r="M357" s="279"/>
      <c r="N357"/>
    </row>
    <row r="358" spans="1:14" x14ac:dyDescent="0.25">
      <c r="A358" s="279">
        <v>349</v>
      </c>
      <c r="B358" s="390">
        <v>44179</v>
      </c>
      <c r="C358"/>
      <c r="D358"/>
      <c r="E358"/>
      <c r="F358"/>
      <c r="G358"/>
      <c r="H358"/>
      <c r="I358"/>
      <c r="J358"/>
      <c r="K358" s="279"/>
      <c r="L358" s="279"/>
      <c r="M358" s="279"/>
      <c r="N358"/>
    </row>
    <row r="359" spans="1:14" x14ac:dyDescent="0.25">
      <c r="A359" s="279">
        <v>350</v>
      </c>
      <c r="B359" s="390">
        <v>44180</v>
      </c>
      <c r="C359"/>
      <c r="D359"/>
      <c r="E359"/>
      <c r="F359"/>
      <c r="G359"/>
      <c r="H359"/>
      <c r="I359"/>
      <c r="J359"/>
      <c r="K359" s="279"/>
      <c r="L359" s="279"/>
      <c r="M359" s="279"/>
      <c r="N359"/>
    </row>
    <row r="360" spans="1:14" x14ac:dyDescent="0.25">
      <c r="A360" s="279">
        <v>351</v>
      </c>
      <c r="B360" s="390">
        <v>44181</v>
      </c>
      <c r="C360"/>
      <c r="D360"/>
      <c r="E360"/>
      <c r="F360"/>
      <c r="G360"/>
      <c r="H360"/>
      <c r="I360"/>
      <c r="J360"/>
      <c r="K360" s="279"/>
      <c r="L360" s="279"/>
      <c r="M360" s="279"/>
      <c r="N360"/>
    </row>
    <row r="361" spans="1:14" x14ac:dyDescent="0.25">
      <c r="A361" s="279">
        <v>352</v>
      </c>
      <c r="B361" s="390">
        <v>44182</v>
      </c>
      <c r="C361"/>
      <c r="D361"/>
      <c r="E361"/>
      <c r="F361"/>
      <c r="G361"/>
      <c r="H361"/>
      <c r="I361"/>
      <c r="J361"/>
      <c r="K361" s="279"/>
      <c r="L361" s="279"/>
      <c r="M361" s="279"/>
      <c r="N361"/>
    </row>
    <row r="362" spans="1:14" x14ac:dyDescent="0.25">
      <c r="A362" s="279">
        <v>353</v>
      </c>
      <c r="B362" s="390">
        <v>44183</v>
      </c>
      <c r="C362"/>
      <c r="D362"/>
      <c r="E362"/>
      <c r="F362"/>
      <c r="G362"/>
      <c r="H362"/>
      <c r="I362"/>
      <c r="J362"/>
      <c r="K362" s="279"/>
      <c r="L362" s="279"/>
      <c r="M362" s="279"/>
      <c r="N362"/>
    </row>
    <row r="363" spans="1:14" x14ac:dyDescent="0.25">
      <c r="A363" s="279">
        <v>354</v>
      </c>
      <c r="B363" s="391">
        <v>44184</v>
      </c>
      <c r="C363"/>
      <c r="D363"/>
      <c r="E363"/>
      <c r="F363"/>
      <c r="G363"/>
      <c r="H363"/>
      <c r="I363"/>
      <c r="J363"/>
      <c r="K363" s="279"/>
      <c r="L363" s="279"/>
      <c r="M363" s="279"/>
      <c r="N363"/>
    </row>
    <row r="364" spans="1:14" x14ac:dyDescent="0.25">
      <c r="A364" s="279">
        <v>355</v>
      </c>
      <c r="B364" s="391">
        <v>44185</v>
      </c>
      <c r="C364"/>
      <c r="D364"/>
      <c r="E364"/>
      <c r="F364"/>
      <c r="G364"/>
      <c r="H364"/>
      <c r="I364"/>
      <c r="J364"/>
      <c r="K364" s="279"/>
      <c r="L364" s="279"/>
      <c r="M364" s="279"/>
      <c r="N364"/>
    </row>
    <row r="365" spans="1:14" x14ac:dyDescent="0.25">
      <c r="A365" s="279">
        <v>356</v>
      </c>
      <c r="B365" s="390">
        <v>44186</v>
      </c>
      <c r="C365"/>
      <c r="D365"/>
      <c r="E365"/>
      <c r="F365"/>
      <c r="G365"/>
      <c r="H365"/>
      <c r="I365"/>
      <c r="J365"/>
      <c r="K365" s="279"/>
      <c r="L365" s="279"/>
      <c r="M365" s="279"/>
      <c r="N365"/>
    </row>
    <row r="366" spans="1:14" x14ac:dyDescent="0.25">
      <c r="A366" s="279">
        <v>357</v>
      </c>
      <c r="B366" s="390">
        <v>44187</v>
      </c>
      <c r="C366"/>
      <c r="D366"/>
      <c r="E366"/>
      <c r="F366"/>
      <c r="G366"/>
      <c r="H366"/>
      <c r="I366"/>
      <c r="J366"/>
      <c r="K366" s="279"/>
      <c r="L366" s="279"/>
      <c r="M366" s="279"/>
      <c r="N366"/>
    </row>
    <row r="367" spans="1:14" x14ac:dyDescent="0.25">
      <c r="A367" s="279">
        <v>358</v>
      </c>
      <c r="B367" s="390">
        <v>44188</v>
      </c>
      <c r="C367"/>
      <c r="D367"/>
      <c r="E367"/>
      <c r="F367"/>
      <c r="G367"/>
      <c r="H367"/>
      <c r="I367"/>
      <c r="J367"/>
      <c r="K367" s="279"/>
      <c r="L367" s="279"/>
      <c r="M367" s="279"/>
      <c r="N367"/>
    </row>
    <row r="368" spans="1:14" x14ac:dyDescent="0.25">
      <c r="A368" s="279">
        <v>359</v>
      </c>
      <c r="B368" s="392">
        <v>44189</v>
      </c>
      <c r="C368"/>
      <c r="D368"/>
      <c r="E368"/>
      <c r="F368"/>
      <c r="G368"/>
      <c r="H368"/>
      <c r="I368"/>
      <c r="J368"/>
      <c r="K368" s="279"/>
      <c r="L368" s="279"/>
      <c r="M368" s="279"/>
      <c r="N368"/>
    </row>
    <row r="369" spans="1:14" x14ac:dyDescent="0.25">
      <c r="A369" s="279">
        <v>360</v>
      </c>
      <c r="B369" s="392">
        <v>44190</v>
      </c>
      <c r="C369"/>
      <c r="D369"/>
      <c r="E369"/>
      <c r="F369"/>
      <c r="G369"/>
      <c r="H369"/>
      <c r="I369"/>
      <c r="J369"/>
      <c r="K369" s="279"/>
      <c r="L369" s="279"/>
      <c r="M369" s="279"/>
      <c r="N369"/>
    </row>
    <row r="370" spans="1:14" x14ac:dyDescent="0.25">
      <c r="A370" s="279">
        <v>361</v>
      </c>
      <c r="B370" s="392">
        <v>44191</v>
      </c>
      <c r="C370"/>
      <c r="D370"/>
      <c r="E370"/>
      <c r="F370"/>
      <c r="G370"/>
      <c r="H370"/>
      <c r="I370"/>
      <c r="J370"/>
      <c r="K370" s="279"/>
      <c r="L370" s="279"/>
      <c r="M370" s="279"/>
      <c r="N370"/>
    </row>
    <row r="371" spans="1:14" x14ac:dyDescent="0.25">
      <c r="A371" s="279">
        <v>362</v>
      </c>
      <c r="B371" s="391">
        <v>44192</v>
      </c>
      <c r="C371"/>
      <c r="D371"/>
      <c r="E371"/>
      <c r="F371"/>
      <c r="G371"/>
      <c r="H371"/>
      <c r="I371"/>
      <c r="J371"/>
      <c r="K371" s="279"/>
      <c r="L371" s="279"/>
      <c r="M371" s="279"/>
      <c r="N371"/>
    </row>
    <row r="372" spans="1:14" x14ac:dyDescent="0.25">
      <c r="A372" s="279">
        <v>363</v>
      </c>
      <c r="B372" s="390">
        <v>44193</v>
      </c>
      <c r="C372"/>
      <c r="D372"/>
      <c r="E372"/>
      <c r="F372"/>
      <c r="G372"/>
      <c r="H372"/>
      <c r="I372"/>
      <c r="J372"/>
      <c r="K372" s="279"/>
      <c r="L372" s="279"/>
      <c r="M372" s="279"/>
      <c r="N372"/>
    </row>
    <row r="373" spans="1:14" x14ac:dyDescent="0.25">
      <c r="A373" s="279">
        <v>364</v>
      </c>
      <c r="B373" s="390">
        <v>44194</v>
      </c>
      <c r="C373"/>
      <c r="D373"/>
      <c r="E373"/>
      <c r="F373"/>
      <c r="G373"/>
      <c r="H373"/>
      <c r="I373"/>
      <c r="J373"/>
      <c r="K373" s="279"/>
      <c r="L373" s="279"/>
      <c r="M373" s="279"/>
      <c r="N373"/>
    </row>
    <row r="374" spans="1:14" x14ac:dyDescent="0.25">
      <c r="A374" s="279">
        <v>365</v>
      </c>
      <c r="B374" s="390">
        <v>44195</v>
      </c>
      <c r="C374"/>
      <c r="D374"/>
      <c r="E374"/>
      <c r="F374"/>
      <c r="G374"/>
      <c r="H374"/>
      <c r="I374"/>
      <c r="J374"/>
      <c r="K374" s="279"/>
      <c r="L374" s="279"/>
      <c r="M374" s="279"/>
      <c r="N374"/>
    </row>
    <row r="375" spans="1:14" x14ac:dyDescent="0.25">
      <c r="A375" s="270">
        <v>366</v>
      </c>
      <c r="B375" s="389">
        <v>44196</v>
      </c>
      <c r="C375"/>
      <c r="D375"/>
      <c r="E375"/>
      <c r="F375"/>
      <c r="G375"/>
      <c r="H375"/>
      <c r="I375"/>
      <c r="J375"/>
      <c r="N375"/>
    </row>
    <row r="376" spans="1:14" x14ac:dyDescent="0.25">
      <c r="B376" s="358"/>
      <c r="C376" s="358"/>
      <c r="D376" s="358"/>
      <c r="E376" s="358"/>
      <c r="F376" s="358"/>
      <c r="G376"/>
      <c r="H376"/>
      <c r="I376"/>
      <c r="J376"/>
      <c r="N376"/>
    </row>
    <row r="377" spans="1:14" x14ac:dyDescent="0.25">
      <c r="B377"/>
      <c r="C377"/>
      <c r="D377"/>
      <c r="E377"/>
      <c r="F377"/>
      <c r="G377"/>
      <c r="H377"/>
      <c r="N377"/>
    </row>
    <row r="378" spans="1:14" x14ac:dyDescent="0.25">
      <c r="C378" s="274"/>
      <c r="D378" s="274"/>
      <c r="E378" s="274"/>
      <c r="G378"/>
      <c r="H378"/>
      <c r="N378"/>
    </row>
    <row r="379" spans="1:14" x14ac:dyDescent="0.25">
      <c r="C379" s="274"/>
      <c r="D379" s="274"/>
      <c r="E379" s="274"/>
      <c r="N379"/>
    </row>
    <row r="380" spans="1:14" x14ac:dyDescent="0.25">
      <c r="C380" s="274"/>
      <c r="D380" s="274"/>
      <c r="E380" s="274"/>
      <c r="N380"/>
    </row>
    <row r="381" spans="1:14" x14ac:dyDescent="0.25">
      <c r="C381" s="274"/>
      <c r="D381" s="274"/>
      <c r="E381" s="274"/>
      <c r="N381"/>
    </row>
    <row r="382" spans="1:14" x14ac:dyDescent="0.25">
      <c r="C382" s="274"/>
      <c r="D382" s="274"/>
      <c r="E382" s="274"/>
      <c r="N382"/>
    </row>
    <row r="383" spans="1:14" x14ac:dyDescent="0.25">
      <c r="C383" s="274"/>
      <c r="D383" s="274"/>
      <c r="E383" s="274"/>
    </row>
    <row r="384" spans="1:14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honeticPr fontId="55" type="noConversion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DeleteButton1">
          <controlPr defaultSize="0" autoLine="0" r:id="rId5">
            <anchor moveWithCells="1">
              <from>
                <xdr:col>10</xdr:col>
                <xdr:colOff>228600</xdr:colOff>
                <xdr:row>9</xdr:row>
                <xdr:rowOff>161925</xdr:rowOff>
              </from>
              <to>
                <xdr:col>10</xdr:col>
                <xdr:colOff>1095375</xdr:colOff>
                <xdr:row>11</xdr:row>
                <xdr:rowOff>85725</xdr:rowOff>
              </to>
            </anchor>
          </controlPr>
        </control>
      </mc:Choice>
      <mc:Fallback>
        <control shapeId="1028" r:id="rId4" name="DeleteButton1"/>
      </mc:Fallback>
    </mc:AlternateContent>
    <mc:AlternateContent xmlns:mc="http://schemas.openxmlformats.org/markup-compatibility/2006">
      <mc:Choice Requires="x14">
        <control shapeId="1027" r:id="rId6" name="CheckForErrorsBttn">
          <controlPr defaultSize="0" autoLine="0" r:id="rId7">
            <anchor moveWithCells="1">
              <from>
                <xdr:col>10</xdr:col>
                <xdr:colOff>1209675</xdr:colOff>
                <xdr:row>9</xdr:row>
                <xdr:rowOff>85725</xdr:rowOff>
              </from>
              <to>
                <xdr:col>11</xdr:col>
                <xdr:colOff>1123950</xdr:colOff>
                <xdr:row>11</xdr:row>
                <xdr:rowOff>76200</xdr:rowOff>
              </to>
            </anchor>
          </controlPr>
        </control>
      </mc:Choice>
      <mc:Fallback>
        <control shapeId="1027" r:id="rId6" name="CheckForErrorsBttn"/>
      </mc:Fallback>
    </mc:AlternateContent>
    <mc:AlternateContent xmlns:mc="http://schemas.openxmlformats.org/markup-compatibility/2006">
      <mc:Choice Requires="x14">
        <control shapeId="1026" r:id="rId8" name="CalculateSchedule">
          <controlPr defaultSize="0" autoLine="0" r:id="rId9">
            <anchor moveWithCells="1">
              <from>
                <xdr:col>9</xdr:col>
                <xdr:colOff>276225</xdr:colOff>
                <xdr:row>7</xdr:row>
                <xdr:rowOff>28575</xdr:rowOff>
              </from>
              <to>
                <xdr:col>10</xdr:col>
                <xdr:colOff>857250</xdr:colOff>
                <xdr:row>9</xdr:row>
                <xdr:rowOff>85725</xdr:rowOff>
              </to>
            </anchor>
          </controlPr>
        </control>
      </mc:Choice>
      <mc:Fallback>
        <control shapeId="1026" r:id="rId8" name="CalculateSchedule"/>
      </mc:Fallback>
    </mc:AlternateContent>
    <mc:AlternateContent xmlns:mc="http://schemas.openxmlformats.org/markup-compatibility/2006">
      <mc:Choice Requires="x14">
        <control shapeId="1029" r:id="rId10" name="RecalcButton1">
          <controlPr defaultSize="0" autoLine="0" r:id="rId11">
            <anchor moveWithCells="1">
              <from>
                <xdr:col>10</xdr:col>
                <xdr:colOff>942975</xdr:colOff>
                <xdr:row>7</xdr:row>
                <xdr:rowOff>57150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1029" r:id="rId10" name="Recalc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D18E-36EA-430B-B759-9B361FDA5412}">
  <sheetPr codeName="List10"/>
  <dimension ref="A1:F13"/>
  <sheetViews>
    <sheetView workbookViewId="0">
      <selection activeCell="E5" sqref="E5"/>
    </sheetView>
  </sheetViews>
  <sheetFormatPr defaultRowHeight="15" x14ac:dyDescent="0.25"/>
  <cols>
    <col min="1" max="1" width="19.5703125" customWidth="1"/>
    <col min="2" max="2" width="16" customWidth="1"/>
    <col min="3" max="3" width="13.5703125" customWidth="1"/>
    <col min="4" max="4" width="16.140625" customWidth="1"/>
    <col min="5" max="5" width="14.7109375" customWidth="1"/>
    <col min="6" max="6" width="10.140625" bestFit="1" customWidth="1"/>
  </cols>
  <sheetData>
    <row r="1" spans="1:6" x14ac:dyDescent="0.25">
      <c r="A1" t="s">
        <v>391</v>
      </c>
      <c r="B1" s="294">
        <v>43466</v>
      </c>
      <c r="C1" s="294">
        <f>DATE(F1,1,1)</f>
        <v>43831</v>
      </c>
      <c r="E1" t="s">
        <v>407</v>
      </c>
      <c r="F1" s="304">
        <v>2020</v>
      </c>
    </row>
    <row r="2" spans="1:6" x14ac:dyDescent="0.25">
      <c r="A2" t="s">
        <v>392</v>
      </c>
      <c r="B2" t="s">
        <v>393</v>
      </c>
      <c r="C2">
        <f>(ROUND(("4/"&amp;F1)/7+MOD(19*MOD(F1,19)-7,30)*14%,)*7-6)-2</f>
        <v>43931</v>
      </c>
    </row>
    <row r="3" spans="1:6" x14ac:dyDescent="0.25">
      <c r="A3" t="s">
        <v>394</v>
      </c>
      <c r="B3" t="s">
        <v>393</v>
      </c>
      <c r="C3">
        <f>(ROUND(("4/"&amp;F1)/7+MOD(19*MOD(F1,19)-7,30)*14%,)*7-6)+1</f>
        <v>43934</v>
      </c>
    </row>
    <row r="4" spans="1:6" x14ac:dyDescent="0.25">
      <c r="A4" t="s">
        <v>395</v>
      </c>
      <c r="B4" s="294">
        <v>43586</v>
      </c>
      <c r="C4" s="294">
        <f>DATE(F1,5,1)</f>
        <v>43952</v>
      </c>
    </row>
    <row r="5" spans="1:6" x14ac:dyDescent="0.25">
      <c r="A5" t="s">
        <v>396</v>
      </c>
      <c r="B5" s="294">
        <v>43593</v>
      </c>
      <c r="C5" s="294">
        <f>DATE(F1,5,8)</f>
        <v>43959</v>
      </c>
    </row>
    <row r="6" spans="1:6" x14ac:dyDescent="0.25">
      <c r="A6" t="s">
        <v>397</v>
      </c>
      <c r="B6" s="294">
        <v>43651</v>
      </c>
      <c r="C6" s="294">
        <f>DATE(F1,7,5)</f>
        <v>44017</v>
      </c>
    </row>
    <row r="7" spans="1:6" x14ac:dyDescent="0.25">
      <c r="A7" t="s">
        <v>398</v>
      </c>
      <c r="B7" s="294">
        <v>43652</v>
      </c>
      <c r="C7" s="294">
        <f>DATE(F1,7,6)</f>
        <v>44018</v>
      </c>
    </row>
    <row r="8" spans="1:6" x14ac:dyDescent="0.25">
      <c r="A8" t="s">
        <v>399</v>
      </c>
      <c r="B8" s="294">
        <v>43736</v>
      </c>
      <c r="C8" s="294">
        <f>DATE(F1,9,28)</f>
        <v>44102</v>
      </c>
    </row>
    <row r="9" spans="1:6" x14ac:dyDescent="0.25">
      <c r="A9" t="s">
        <v>400</v>
      </c>
      <c r="B9" s="294">
        <v>43766</v>
      </c>
      <c r="C9" s="294">
        <f>DATE(F1,10,28)</f>
        <v>44132</v>
      </c>
    </row>
    <row r="10" spans="1:6" x14ac:dyDescent="0.25">
      <c r="A10" t="s">
        <v>401</v>
      </c>
      <c r="B10" s="294">
        <v>43786</v>
      </c>
      <c r="C10" s="294">
        <f>DATE(F1,11,17)</f>
        <v>44152</v>
      </c>
    </row>
    <row r="11" spans="1:6" x14ac:dyDescent="0.25">
      <c r="A11" t="s">
        <v>402</v>
      </c>
      <c r="B11" s="294">
        <v>43823</v>
      </c>
      <c r="C11" s="294">
        <f>DATE(F1,12,24)</f>
        <v>44189</v>
      </c>
    </row>
    <row r="12" spans="1:6" x14ac:dyDescent="0.25">
      <c r="A12" t="s">
        <v>403</v>
      </c>
      <c r="B12" s="294">
        <v>43824</v>
      </c>
      <c r="C12" s="294">
        <f>DATE(F1,12,25)</f>
        <v>44190</v>
      </c>
    </row>
    <row r="13" spans="1:6" x14ac:dyDescent="0.25">
      <c r="A13" t="s">
        <v>404</v>
      </c>
      <c r="B13" s="294">
        <v>43825</v>
      </c>
      <c r="C13" s="294">
        <f>DATE(F1,12,26)</f>
        <v>44191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3</vt:i4>
      </vt:variant>
    </vt:vector>
  </HeadingPairs>
  <TitlesOfParts>
    <vt:vector size="13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TEST2</vt:lpstr>
      <vt:lpstr>Svátky pro makro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2019-12-13T06:36:12Z</dcterms:modified>
</cp:coreProperties>
</file>